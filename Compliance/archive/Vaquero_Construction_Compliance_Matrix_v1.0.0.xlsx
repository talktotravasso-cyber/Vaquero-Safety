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 — Regulatory Authority" sheetId="2" state="visible" r:id="rId2"/>
    <sheet xmlns:r="http://schemas.openxmlformats.org/officeDocument/2006/relationships" name="B — Credentials" sheetId="3" state="visible" r:id="rId3"/>
    <sheet xmlns:r="http://schemas.openxmlformats.org/officeDocument/2006/relationships" name="C — Federal Overlay" sheetId="4" state="visible" r:id="rId4"/>
    <sheet xmlns:r="http://schemas.openxmlformats.org/officeDocument/2006/relationships" name="D — Verify Required Tracker" sheetId="5" state="visible" r:id="rId5"/>
    <sheet xmlns:r="http://schemas.openxmlformats.org/officeDocument/2006/relationships" name="E — CORA National Registry" sheetId="6" state="visible" r:id="rId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3"/>
    </font>
    <font>
      <name val="Arial"/>
      <b val="1"/>
      <color rgb="001F3864"/>
      <sz val="10"/>
    </font>
    <font>
      <name val="Arial"/>
      <color rgb="00000000"/>
      <sz val="10"/>
    </font>
    <font>
      <name val="Arial"/>
      <b val="1"/>
      <color rgb="00FFFFFF"/>
      <sz val="10"/>
    </font>
    <font>
      <name val="Arial"/>
      <b val="1"/>
      <color rgb="00000000"/>
      <sz val="10"/>
    </font>
    <font>
      <name val="Arial"/>
      <b val="1"/>
      <color rgb="00FFFFFF"/>
      <sz val="11"/>
    </font>
  </fonts>
  <fills count="12">
    <fill>
      <patternFill/>
    </fill>
    <fill>
      <patternFill patternType="gray125"/>
    </fill>
    <fill>
      <patternFill patternType="solid">
        <fgColor rgb="001F3864"/>
      </patternFill>
    </fill>
    <fill>
      <patternFill patternType="solid">
        <fgColor rgb="00BDD7EE"/>
      </patternFill>
    </fill>
    <fill>
      <patternFill patternType="solid">
        <fgColor rgb="00FFFFFF"/>
      </patternFill>
    </fill>
    <fill>
      <patternFill patternType="solid">
        <fgColor rgb="002E75B6"/>
      </patternFill>
    </fill>
    <fill>
      <patternFill patternType="solid">
        <fgColor rgb="00C6EFCE"/>
      </patternFill>
    </fill>
    <fill>
      <patternFill patternType="solid">
        <fgColor rgb="00FFEB9C"/>
      </patternFill>
    </fill>
    <fill>
      <patternFill patternType="solid">
        <fgColor rgb="00FCE4D6"/>
      </patternFill>
    </fill>
    <fill>
      <patternFill patternType="solid">
        <fgColor rgb="00FFCCCC"/>
      </patternFill>
    </fill>
    <fill>
      <patternFill patternType="solid">
        <fgColor rgb="00FFE699"/>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2">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4" fillId="5" borderId="1" applyAlignment="1" pivotButton="0" quotePrefix="0" xfId="0">
      <alignment horizontal="center" vertical="top" wrapText="1"/>
    </xf>
    <xf numFmtId="0" fontId="5" fillId="6" borderId="1" applyAlignment="1" pivotButton="0" quotePrefix="0" xfId="0">
      <alignment horizontal="left" vertical="top" wrapText="1"/>
    </xf>
    <xf numFmtId="0" fontId="3" fillId="6" borderId="1" applyAlignment="1" pivotButton="0" quotePrefix="0" xfId="0">
      <alignment horizontal="left" vertical="top" wrapText="1"/>
    </xf>
    <xf numFmtId="0" fontId="5" fillId="7" borderId="1" applyAlignment="1" pivotButton="0" quotePrefix="0" xfId="0">
      <alignment horizontal="left" vertical="top" wrapText="1"/>
    </xf>
    <xf numFmtId="0" fontId="3" fillId="7" borderId="1" applyAlignment="1" pivotButton="0" quotePrefix="0" xfId="0">
      <alignment horizontal="left" vertical="top" wrapText="1"/>
    </xf>
    <xf numFmtId="0" fontId="5" fillId="8" borderId="1" applyAlignment="1" pivotButton="0" quotePrefix="0" xfId="0">
      <alignment horizontal="left" vertical="top" wrapText="1"/>
    </xf>
    <xf numFmtId="0" fontId="3" fillId="8" borderId="1" applyAlignment="1" pivotButton="0" quotePrefix="0" xfId="0">
      <alignment horizontal="left" vertical="top" wrapText="1"/>
    </xf>
    <xf numFmtId="0" fontId="5" fillId="9" borderId="1" applyAlignment="1" pivotButton="0" quotePrefix="0" xfId="0">
      <alignment horizontal="left" vertical="top" wrapText="1"/>
    </xf>
    <xf numFmtId="0" fontId="3" fillId="9" borderId="1" applyAlignment="1" pivotButton="0" quotePrefix="0" xfId="0">
      <alignment horizontal="left" vertical="top" wrapText="1"/>
    </xf>
    <xf numFmtId="0" fontId="5" fillId="10" borderId="1" applyAlignment="1" pivotButton="0" quotePrefix="0" xfId="0">
      <alignment horizontal="left" vertical="top" wrapText="1"/>
    </xf>
    <xf numFmtId="0" fontId="3" fillId="10" borderId="1" applyAlignment="1" pivotButton="0" quotePrefix="0" xfId="0">
      <alignment horizontal="left" vertical="top" wrapText="1"/>
    </xf>
    <xf numFmtId="0" fontId="4" fillId="2" borderId="1" applyAlignment="1" pivotButton="0" quotePrefix="0" xfId="0">
      <alignment horizontal="center" vertical="top" wrapText="1"/>
    </xf>
    <xf numFmtId="0" fontId="3" fillId="11" borderId="1" applyAlignment="1" pivotButton="0" quotePrefix="0" xfId="0">
      <alignment horizontal="left" vertical="top" wrapText="1"/>
    </xf>
    <xf numFmtId="0" fontId="6" fillId="2" borderId="1" applyAlignment="1" pivotButton="0" quotePrefix="0" xfId="0">
      <alignment horizontal="center" vertical="center" wrapText="1"/>
    </xf>
    <xf numFmtId="0" fontId="5" fillId="6" borderId="1" applyAlignment="1" pivotButton="0" quotePrefix="0" xfId="0">
      <alignment horizontal="center" vertical="top" wrapText="1"/>
    </xf>
    <xf numFmtId="0" fontId="5" fillId="7" borderId="1" applyAlignment="1" pivotButton="0" quotePrefix="0" xfId="0">
      <alignment horizontal="center" vertical="top" wrapText="1"/>
    </xf>
    <xf numFmtId="0" fontId="2" fillId="3" borderId="1" applyAlignment="1" pivotButton="0" quotePrefix="0" xfId="0">
      <alignment horizontal="center" vertical="top" wrapText="1"/>
    </xf>
    <xf numFmtId="0" fontId="5" fillId="9"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showGridLines="0" workbookViewId="0">
      <selection activeCell="A1" sqref="A1"/>
    </sheetView>
  </sheetViews>
  <sheetFormatPr baseColWidth="8" defaultRowHeight="15"/>
  <cols>
    <col width="28" customWidth="1" min="1" max="1"/>
    <col width="70" customWidth="1" min="2" max="2"/>
  </cols>
  <sheetData>
    <row r="1" ht="35" customHeight="1">
      <c r="A1" s="1" t="inlineStr">
        <is>
          <t>Vaquero Safety Inc. — Canadian OHS Compliance Matrix</t>
        </is>
      </c>
    </row>
    <row r="3" ht="18" customHeight="1">
      <c r="A3" s="2" t="inlineStr">
        <is>
          <t>Industry</t>
        </is>
      </c>
      <c r="B3" s="3" t="inlineStr">
        <is>
          <t>Construction</t>
        </is>
      </c>
    </row>
    <row r="4" ht="18" customHeight="1">
      <c r="A4" s="2" t="inlineStr">
        <is>
          <t>Version</t>
        </is>
      </c>
      <c r="B4" s="3" t="inlineStr">
        <is>
          <t>v1.0.0-SEED (Phase 1 Research Applied — 2026-05-25)</t>
        </is>
      </c>
    </row>
    <row r="5" ht="18" customHeight="1">
      <c r="A5" s="2" t="inlineStr">
        <is>
          <t>Jurisdiction</t>
        </is>
      </c>
      <c r="B5" s="3" t="inlineStr">
        <is>
          <t>All 13 Provinces/Territories — Canada</t>
        </is>
      </c>
    </row>
    <row r="6" ht="18" customHeight="1">
      <c r="A6" s="2" t="inlineStr">
        <is>
          <t>Compliance Scope</t>
        </is>
      </c>
      <c r="B6" s="3" t="inlineStr">
        <is>
          <t>General Contractors, All Designated Trades, Industrial/Commercial/Residential Construction</t>
        </is>
      </c>
    </row>
    <row r="7" ht="18" customHeight="1">
      <c r="A7" s="2" t="inlineStr">
        <is>
          <t>Regulatory Basis</t>
        </is>
      </c>
      <c r="B7" s="3" t="inlineStr">
        <is>
          <t>PIPEDA / PIPA (Alberta) | Canada Central Data Residency</t>
        </is>
      </c>
    </row>
    <row r="8" ht="18" customHeight="1">
      <c r="A8" s="2" t="inlineStr">
        <is>
          <t>Research Source</t>
        </is>
      </c>
      <c r="B8" s="3" t="inlineStr">
        <is>
          <t>CONSTRUCTION_PHASE1_RESEARCH_2026-05-25.md</t>
        </is>
      </c>
    </row>
    <row r="9" ht="18" customHeight="1">
      <c r="A9" s="2" t="inlineStr">
        <is>
          <t>Last Updated</t>
        </is>
      </c>
      <c r="B9" s="3" t="inlineStr">
        <is>
          <t>2026-05-25</t>
        </is>
      </c>
    </row>
    <row r="10" ht="18" customHeight="1">
      <c r="A10" s="2" t="inlineStr">
        <is>
          <t>Status</t>
        </is>
      </c>
      <c r="B10" s="3" t="inlineStr">
        <is>
          <t>SEED — Confidence 2-3 on all Section A entries; Section B partially populated; Verify Required flags set</t>
        </is>
      </c>
    </row>
    <row r="13" ht="22" customHeight="1">
      <c r="A13" s="4" t="inlineStr">
        <is>
          <t>CONFIDENCE SCALE</t>
        </is>
      </c>
    </row>
    <row r="14" ht="18" customHeight="1">
      <c r="A14" s="5" t="inlineStr">
        <is>
          <t>3 — Verified (Green)</t>
        </is>
      </c>
      <c r="B14" s="6" t="inlineStr">
        <is>
          <t>Stable, well-documented official regulatory source. Safe as reference baseline.</t>
        </is>
      </c>
    </row>
    <row r="15" ht="18" customHeight="1">
      <c r="A15" s="7" t="inlineStr">
        <is>
          <t>2 — Probable (Yellow)</t>
        </is>
      </c>
      <c r="B15" s="8" t="inlineStr">
        <is>
          <t>Structurally sound; URL/date needs live verification before production use. Run firecrawl-sync.py.</t>
        </is>
      </c>
    </row>
    <row r="16" ht="18" customHeight="1">
      <c r="A16" s="9" t="inlineStr">
        <is>
          <t>1 — Hypothetical (Orange)</t>
        </is>
      </c>
      <c r="B16" s="10" t="inlineStr">
        <is>
          <t>Placeholder only. Manual research required before any use.</t>
        </is>
      </c>
    </row>
    <row r="17" ht="18" customHeight="1">
      <c r="A17" s="11" t="inlineStr">
        <is>
          <t>[VERIFY_REQUIRED]</t>
        </is>
      </c>
      <c r="B17" s="12" t="inlineStr">
        <is>
          <t>Must validate against live official source before production use.</t>
        </is>
      </c>
    </row>
    <row r="18" ht="18" customHeight="1">
      <c r="A18" s="13" t="inlineStr">
        <is>
          <t>⚠ CORRECTION:</t>
        </is>
      </c>
      <c r="B18" s="14" t="inlineStr">
        <is>
          <t>Prior entry found to be incorrect. Flagged on update. Never silently overwritten.</t>
        </is>
      </c>
    </row>
    <row r="21" ht="22" customHeight="1">
      <c r="A21" s="15" t="inlineStr">
        <is>
          <t>CRITICAL OPERATING RULES</t>
        </is>
      </c>
    </row>
    <row r="22" ht="22" customHeight="1">
      <c r="A22" s="11" t="inlineStr">
        <is>
          <t>Rule 1 — Safety Credentials Guard</t>
        </is>
      </c>
      <c r="B22" s="16" t="inlineStr">
        <is>
          <t>scripts/verify-compliance.py MUST execute before any output involving COR, NCSO, or CRSP. LLM scoring absolutely prohibited.</t>
        </is>
      </c>
    </row>
    <row r="23" ht="22" customHeight="1">
      <c r="A23" s="11" t="inlineStr">
        <is>
          <t>Rule 2 — Zero Guess</t>
        </is>
      </c>
      <c r="B23" s="16" t="inlineStr">
        <is>
          <t>Never speculate on regulatory content. Ambiguous data: [ERROR: REGULATORY_DATA_AMBIGUOUS. Manual intervention required.]</t>
        </is>
      </c>
    </row>
    <row r="24" ht="22" customHeight="1">
      <c r="A24" s="11" t="inlineStr">
        <is>
          <t>Rule 3 — Triple-Check</t>
        </is>
      </c>
      <c r="B24" s="16" t="inlineStr">
        <is>
          <t>Every cell verified minimum 3 times before population.</t>
        </is>
      </c>
    </row>
    <row r="25" ht="22" customHeight="1">
      <c r="A25" s="11" t="inlineStr">
        <is>
          <t>Rule 4 — No SOR Invention</t>
        </is>
      </c>
      <c r="B25" s="16" t="inlineStr">
        <is>
          <t>Never cite a regulation number not confirmed from official source. Flag uncertain: [VERIFY_REQUIRED — citation unconfirmed]</t>
        </is>
      </c>
    </row>
    <row r="26" ht="22" customHeight="1">
      <c r="A26" s="11" t="inlineStr">
        <is>
          <t>Rule 5 — Correction Flagging</t>
        </is>
      </c>
      <c r="B26" s="16" t="inlineStr">
        <is>
          <t>Wrong prior entries prefixed ⚠ CORRECTION: — never silently overwritten.</t>
        </is>
      </c>
    </row>
    <row r="29" ht="22" customHeight="1">
      <c r="A29" s="4" t="inlineStr">
        <is>
          <t>VERSION HISTORY</t>
        </is>
      </c>
    </row>
    <row r="30" ht="25" customHeight="1">
      <c r="A30" s="2" t="inlineStr">
        <is>
          <t>v1.0.0-SEED — 2026-05-25</t>
        </is>
      </c>
      <c r="B30" s="3" t="inlineStr">
        <is>
          <t>Initial matrix. Phase 1 Research applied. All 13 jurisdictions Section A populated Conf 2-3. BC Part 20 correction applied. AB Part numbering correction applied. ON 116/26 applied. NBC adoption table complete. ON WAH confirmed. Asbestos (AB/BC/ON) populated. Silica OEL section drafted. Sheet D tracker seeded.</t>
        </is>
      </c>
    </row>
    <row r="31" ht="25" customHeight="1">
      <c r="A31" s="2" t="inlineStr">
        <is>
          <t>v1.1.0+</t>
        </is>
      </c>
      <c r="B31" s="3" t="inlineStr">
        <is>
          <t>Subsequent Perplexity/firecrawl research passes. Priority: Section B trade credentials, CORA URLs, asbestos contractor licensing (MB), SK direct URL.</t>
        </is>
      </c>
    </row>
    <row r="32" ht="25" customHeight="1">
      <c r="A32" s="2" t="inlineStr">
        <is>
          <t>v1.7.0 (target production)</t>
        </is>
      </c>
      <c r="B32" s="3" t="inlineStr">
        <is>
          <t>Min Confidence 2 on all cells. 0 open VERIFY_REQUIRED items. Mirrors Oil &amp; Gas v1.7.0 standard.</t>
        </is>
      </c>
    </row>
  </sheetData>
  <mergeCells count="4">
    <mergeCell ref="A29:B29"/>
    <mergeCell ref="A13:B13"/>
    <mergeCell ref="A21:B2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1"/>
  <sheetViews>
    <sheetView showGridLines="0" workbookViewId="0">
      <pane ySplit="2" topLeftCell="A3" activePane="bottomLeft" state="frozen"/>
      <selection pane="bottomLeft" activeCell="A1" sqref="A1"/>
    </sheetView>
  </sheetViews>
  <sheetFormatPr baseColWidth="8" defaultRowHeight="15"/>
  <cols>
    <col width="6" customWidth="1" min="1" max="1"/>
    <col width="30" customWidth="1" min="2" max="2"/>
    <col width="30" customWidth="1" min="3" max="3"/>
    <col width="20" customWidth="1" min="4" max="4"/>
    <col width="38" customWidth="1" min="5" max="5"/>
    <col width="55" customWidth="1" min="6" max="6"/>
    <col width="20" customWidth="1" min="7" max="7"/>
    <col width="12" customWidth="1" min="8" max="8"/>
  </cols>
  <sheetData>
    <row r="1" ht="30" customHeight="1">
      <c r="A1" s="17" t="inlineStr">
        <is>
          <t>SECTION A — REGULATORY AUTHORITY | Construction Industry | All 13 Jurisdictions</t>
        </is>
      </c>
    </row>
    <row r="2" ht="22" customHeight="1">
      <c r="A2" s="4" t="inlineStr">
        <is>
          <t>Conf</t>
        </is>
      </c>
      <c r="B2" s="4" t="inlineStr">
        <is>
          <t>OHS Authority Full Name</t>
        </is>
      </c>
      <c r="C2" s="4" t="inlineStr">
        <is>
          <t>Enabling Legislation</t>
        </is>
      </c>
      <c r="D2" s="4" t="inlineStr">
        <is>
          <t>Citation / Instrument</t>
        </is>
      </c>
      <c r="E2" s="4" t="inlineStr">
        <is>
          <t>Construction Regulation</t>
        </is>
      </c>
      <c r="F2" s="4" t="inlineStr">
        <is>
          <t>Official URL(s)</t>
        </is>
      </c>
      <c r="G2" s="4" t="inlineStr">
        <is>
          <t>Last Amended</t>
        </is>
      </c>
      <c r="H2" s="4" t="inlineStr">
        <is>
          <t>Jurisdiction</t>
        </is>
      </c>
    </row>
    <row r="3" ht="80" customHeight="1">
      <c r="A3" s="18" t="inlineStr">
        <is>
          <t>3</t>
        </is>
      </c>
      <c r="B3" s="3" t="inlineStr">
        <is>
          <t>Alberta Occupational Health and Safety (OHS), Alberta Labour and Immigration</t>
        </is>
      </c>
      <c r="C3" s="3" t="inlineStr">
        <is>
          <t>Occupational Health and Safety Act</t>
        </is>
      </c>
      <c r="D3" s="3" t="inlineStr">
        <is>
          <t>SA 2017, c. O-2.1 (in effect Dec 1 2021 revised numbering)</t>
        </is>
      </c>
      <c r="E3" s="3" t="inlineStr">
        <is>
          <t>⚠ CORRECTION: No standalone construction reg. OHS Code Alta. Reg. 191/2021 governs all workplaces. Construction-relevant Parts: Part 6 (Cranes/Hoists ≥2000 kg), Part 9 (Fall Protection ≥3m), Part 23 (Scaffolds — ⚠ CORRECTION: was Part 7 pre-2021), Part 30 (Demolition), Part 32 (Excavating/Tunnelling), Part 4 (Chemical Hazards/Asbestos). ⚠ CORRECTION: Part 8 (Cranes) and Part 7 (Scaffolds) references in MATRIX_INSTRUCTIONS_CONSTRUCTION.md are pre-2021 numbering. Current: Part 6 = Cranes; Part 23 = Scaffolds; Part 7 = Emergency Preparedness.</t>
        </is>
      </c>
      <c r="F3" s="3" t="inlineStr">
        <is>
          <t>search-ohs-laws.alberta.ca/legislation/occupational-health-and-safety-act/ | search-ohs-laws.alberta.ca/legislation/occupational-health-and-safety-code/ | Part 6: …/part-6-cranes-hoists-and-lifting-devices/ | Part 9: …/part-9-fall-protection/ | Part 23: …/part-23-scaffolds-and-temporary-work-platforms/ | Part 32: …/part-32-excavating-and-tunnelling/ | Part 4: …/part-4-chemical-hazards-biological-hazards-and-harmful-substances/ | alberta.ca/ohs-act-regulation-code</t>
        </is>
      </c>
      <c r="G3" s="3" t="inlineStr">
        <is>
          <t>Alta. Reg. 202/2024 (Dec 4 2024); Alta. Reg. 210/2024 (Dec 10 2024)</t>
        </is>
      </c>
      <c r="H3" s="3" t="inlineStr">
        <is>
          <t>AB</t>
        </is>
      </c>
    </row>
    <row r="4" ht="80" customHeight="1">
      <c r="A4" s="18" t="inlineStr">
        <is>
          <t>3</t>
        </is>
      </c>
      <c r="B4" s="3" t="inlineStr">
        <is>
          <t>WorkSafeBC (Workers' Compensation Board of British Columbia)</t>
        </is>
      </c>
      <c r="C4" s="3" t="inlineStr">
        <is>
          <t>Workers Compensation Act</t>
        </is>
      </c>
      <c r="D4" s="3" t="inlineStr">
        <is>
          <t>RSBC 2019, c. 1</t>
        </is>
      </c>
      <c r="E4" s="3" t="inlineStr">
        <is>
          <t>⚠ CORRECTION: Primary construction Part is Part 20 — Construction, Excavation and Demolition. NOT Part 18 as referenced in MATRIX_INSTRUCTIONS_CONSTRUCTION.md. Part 18 = Traffic Control. Confirmed from official WorkSafeBC searchable OHS Regulation. OHS Regulation B.C. Reg. 296/97. Other key construction Parts: Part 6.2 (Asbestos — licensing Jan 1 2024), Part 11 (Falls Protection), Part 13 (Scaffolds and Work Platforms), Part 14 (Rigging), Part 15 (Cranes and Hoists).</t>
        </is>
      </c>
      <c r="F4" s="3" t="inlineStr">
        <is>
          <t>worksafebc.com/en/law-policy/occupational-health-safety/searchable-ohs-regulation/ohs-regulation/part-20-construction-e | Guidelines Part 20: …/ohs-guidelines/guidelines-part-20 | Asbestos training/licensing: worksafebc.com/en/health-safety/education-training-certification/asbestos-training-certification-licensing</t>
        </is>
      </c>
      <c r="G4" s="3" t="inlineStr">
        <is>
          <t>B.C. Reg. 260/2024 (Oct 1 2024 — Part 20 toilets ≥25 workers, new ss.20.3.1–20.3.2); Jan 1 2024 — asbestos abatement worker certification + employer licensing in force</t>
        </is>
      </c>
      <c r="H4" s="3" t="inlineStr">
        <is>
          <t>BC</t>
        </is>
      </c>
    </row>
    <row r="5" ht="80" customHeight="1">
      <c r="A5" s="19" t="inlineStr">
        <is>
          <t>2</t>
        </is>
      </c>
      <c r="B5" s="3" t="inlineStr">
        <is>
          <t>WorkSafe Saskatchewan / Ministry of Labour Relations and Workplace Safety</t>
        </is>
      </c>
      <c r="C5" s="3" t="inlineStr">
        <is>
          <t>The Saskatchewan Employment Act</t>
        </is>
      </c>
      <c r="D5" s="3" t="inlineStr">
        <is>
          <t>SS 2013, c. S-15.1</t>
        </is>
      </c>
      <c r="E5" s="3" t="inlineStr">
        <is>
          <t>OHS Regulations, 2020, RRS S-15.1 Reg 10 (in force April 1 2021). No dedicated construction regulation. Construction safety embedded throughout. Review of Parts 1–5 underway; public comment closed Nov 30 2025. [VERIFY_REQUIRED — direct URL to consolidated text not confirmed in research]</t>
        </is>
      </c>
      <c r="F5" s="3" t="inlineStr">
        <is>
          <t>saskatchewan.ca/business/safety-in-the-workplace | worksafesask.ca/industries/occupational-health-safety/ | [VERIFY_REQUIRED — direct URL to RRS S-15.1 Reg 10 text not confirmed; use SK Publications Centre or Government legislation portal]</t>
        </is>
      </c>
      <c r="G5" s="3" t="inlineStr">
        <is>
          <t>OHS Regs 2020 replaced all predecessor regs April 1 2021. No post-2022 construction-targeted amendments identified. [Conf 2]</t>
        </is>
      </c>
      <c r="H5" s="3" t="inlineStr">
        <is>
          <t>SK</t>
        </is>
      </c>
    </row>
    <row r="6" ht="80" customHeight="1">
      <c r="A6" s="18" t="inlineStr">
        <is>
          <t>3</t>
        </is>
      </c>
      <c r="B6" s="3" t="inlineStr">
        <is>
          <t>Workplace Safety and Health Division, Manitoba Labour, Consumer Protection and Government Services</t>
        </is>
      </c>
      <c r="C6" s="3" t="inlineStr">
        <is>
          <t>The Workplace Safety and Health Act</t>
        </is>
      </c>
      <c r="D6" s="3" t="inlineStr">
        <is>
          <t>CCSM c. W210</t>
        </is>
      </c>
      <c r="E6" s="3" t="inlineStr">
        <is>
          <t>Workplace Safety and Health Regulation, Manitoba Regulation 217/2006. No dedicated construction regulation. Part 26 covers excavations and tunnels. Proposed asbestos amendments (EngageMB) not yet confirmed enacted [VERIFY_REQUIRED].</t>
        </is>
      </c>
      <c r="F6" s="3" t="inlineStr">
        <is>
          <t>web2.gov.mb.ca/laws/regs/current/217-2006.php?lang=en (current to May 25 2026; in effect Dec 12 2025) | gov.mb.ca/labour/safety/pdf/whs_workplace_safety_act_and_regs.pdf | constructionsafety.ca/resources/legislation-information/</t>
        </is>
      </c>
      <c r="G6" s="3" t="inlineStr">
        <is>
          <t>Dec 5 2025: WSH Regulation amendments in force. Mar 20 2026: Hot water for handwashing at construction sites — in force April 1 2027. Jun 2025: WSHA amended (psychological safety, single-employer declarations, expedited appeals)</t>
        </is>
      </c>
      <c r="H6" s="3" t="inlineStr">
        <is>
          <t>MB</t>
        </is>
      </c>
    </row>
    <row r="7" ht="80" customHeight="1">
      <c r="A7" s="18" t="inlineStr">
        <is>
          <t>3</t>
        </is>
      </c>
      <c r="B7" s="3" t="inlineStr">
        <is>
          <t>Ministry of Labour, Immigration, Training and Skills Development (MLITSD); Chief Prevention Officer (CPO)</t>
        </is>
      </c>
      <c r="C7" s="3" t="inlineStr">
        <is>
          <t>Occupational Health and Safety Act</t>
        </is>
      </c>
      <c r="D7" s="3" t="inlineStr">
        <is>
          <t>RSO 1990, c. O.1 (OHSA)</t>
        </is>
      </c>
      <c r="E7" s="3" t="inlineStr">
        <is>
          <t>O. Reg. 213/91 — Construction Projects (standalone, dedicated construction regulation). Current consolidation: April 20 2026. Last amendment: O. Reg. 116/26. Key additional regs: O. Reg. 297/13 (WAH training), O. Reg. 278/05 (Asbestos on Construction — last amend O. Reg. 115/26 effective Jul 1 2026), O. Reg. 490/09 (Designated Substances — silica OEL).</t>
        </is>
      </c>
      <c r="F7" s="3" t="inlineStr">
        <is>
          <t>ontario.ca/laws/regulation/910213 (O.Reg 213/91 current) | ontario.ca/laws/regulation/130297 (O.Reg 297/13 WAH) | ontario.ca/laws/regulation/050278 (O.Reg 278/05 Asbestos) | ontario.ca/page/training-working-heights (CPO-approved WAH providers, updated Apr 21 2026)</t>
        </is>
      </c>
      <c r="G7" s="3" t="inlineStr">
        <is>
          <t>O. Reg. 116/26 (Apr 20 2026 — most recent). O. Reg. 112/26 (Jul 1 2027 — Type 2 hard hat). O. Reg. 157/25 (Jan 1 2026 — AED ≥20 workers ≥3 months). O. Reg. 105/25 (Jan 1 2025 — AED reqs + washroom recordkeeping). O. Reg. 482/24, 190/24 (2024). O. Reg. 241/23, 242/23 (Jan 1 2024 — tower/mobile crane + rigging). O. Reg. 115/26 to O. Reg. 278/05 (asbestos — filed Apr 20 2026, most provisions Jul 1 2026)</t>
        </is>
      </c>
      <c r="H7" s="3" t="inlineStr">
        <is>
          <t>ON</t>
        </is>
      </c>
    </row>
    <row r="8" ht="80" customHeight="1">
      <c r="A8" s="18" t="inlineStr">
        <is>
          <t>3</t>
        </is>
      </c>
      <c r="B8" s="3" t="inlineStr">
        <is>
          <t>CNESST (Commission des normes, de l'équité, de la santé et de la sécurité du travail) — OHS enforcement. CCQ (Commission de la construction du Québec) — labour relations / workforce management (separate mandate, not OHS).</t>
        </is>
      </c>
      <c r="C8" s="3" t="inlineStr">
        <is>
          <t>Act Respecting Occupational Health and Safety (Loi sur la santé et la sécurité du travail — LSST)</t>
        </is>
      </c>
      <c r="D8" s="3" t="inlineStr">
        <is>
          <t>RLRQ, c. S-2.1. Major reform: Bill 59 final phase in force Oct 1 2025 (OIC 1154-2025).</t>
        </is>
      </c>
      <c r="E8" s="3" t="inlineStr">
        <is>
          <t>Safety Code for the Construction Industry (Code de sécurité pour les travaux de construction), RLRQ, c. S-2.1, r.4. Dedicated construction regulation. Amended Apr 2024 (worker rescue after fall). CCQ governs trade credentials / workforce under Act R-20 — NOT OHS. Both CNESST and CCQ inspectors may be on site simultaneously with separate mandates.</t>
        </is>
      </c>
      <c r="F8" s="3" t="inlineStr">
        <is>
          <t>legisquebec.gouv.qc.ca/en/document/cr/S-2.1,%20r.4 | cnesst.gouv.qc.ca | ccq.org</t>
        </is>
      </c>
      <c r="G8" s="3" t="inlineStr">
        <is>
          <t>Apr 2024: S-2.1, r.4 amended (worker rescue requirements). Oct 1 2025: Bill 59 — mandatory prevention programs (≥20 workers), action plans (&lt;20), H&amp;S committees, contaminant registers. Jan 1 2024: Mandatory training/cert for construction site H&amp;S roles. Apr 17 2025: NBC 2020 adopted (QC variations)</t>
        </is>
      </c>
      <c r="H8" s="3" t="inlineStr">
        <is>
          <t>QC</t>
        </is>
      </c>
    </row>
    <row r="9" ht="80" customHeight="1">
      <c r="A9" s="18" t="inlineStr">
        <is>
          <t>3</t>
        </is>
      </c>
      <c r="B9" s="3" t="inlineStr">
        <is>
          <t>WorkSafeNB (Workers' Safety and Compensation Commission of New Brunswick)</t>
        </is>
      </c>
      <c r="C9" s="3" t="inlineStr">
        <is>
          <t>Occupational Health and Safety Act</t>
        </is>
      </c>
      <c r="D9" s="3" t="inlineStr">
        <is>
          <t>SNB 1983, c. O-0.2 (amended 2024, c.5, assented Jun 7 2024)</t>
        </is>
      </c>
      <c r="E9" s="3" t="inlineStr">
        <is>
          <t>General Regulation — Occupational Health and Safety Act, NB Regulation 91-191. No standalone construction regulation. Part XIII covers excavations and trenches. Full enforcement of all post-2022 amendments commenced Jan 9 2025.</t>
        </is>
      </c>
      <c r="F9" s="3" t="inlineStr">
        <is>
          <t>laws.gnb.ca/en/showfulldoc/cr/91-191 | laws.gnb.ca/en/document/as/2024,%20c.5 (OHS Act 2024 amendments) | laws.gnb.ca/en/document/ar/2024-38 (NB Reg 2024-38 amendment)</t>
        </is>
      </c>
      <c r="G9" s="3" t="inlineStr">
        <is>
          <t>2024, c.5 (Jun 7 2024 — removed JHSC meeting minutes auto-submission to WorkSafeNB). NB Reg 2024-38 (Jul 26 2024). Full enforcement Jan 9 2025.</t>
        </is>
      </c>
      <c r="H9" s="3" t="inlineStr">
        <is>
          <t>NB</t>
        </is>
      </c>
    </row>
    <row r="10" ht="80" customHeight="1">
      <c r="A10" s="18" t="inlineStr">
        <is>
          <t>3</t>
        </is>
      </c>
      <c r="B10" s="3" t="inlineStr">
        <is>
          <t>Occupational Health and Safety Division, Nova Scotia Department of Labour, Skills and Immigration</t>
        </is>
      </c>
      <c r="C10" s="3" t="inlineStr">
        <is>
          <t>Occupational Health and Safety Act</t>
        </is>
      </c>
      <c r="D10" s="3" t="inlineStr">
        <is>
          <t>SNS 1996, c. 7. Amended by Stronger Workplaces for Nova Scotia Act — Sep 1 2025.</t>
        </is>
      </c>
      <c r="E10" s="3" t="inlineStr">
        <is>
          <t>Workplace Health and Safety Regulations, NS Reg. 52/2013 (under OHSA). Also: Occupational Safety General Regulations, NS Reg. 8/1995. No dedicated standalone construction regulation.</t>
        </is>
      </c>
      <c r="F10" s="3" t="inlineStr">
        <is>
          <t>novascotia.ca/just/regulations/regs/ohsworkplace.htm | novascotia.ca/just/regulations/regs/ohsgensf.htm | wcb.ns.ca/resources/occupational-health-and-safety-ohs</t>
        </is>
      </c>
      <c r="G10" s="3" t="inlineStr">
        <is>
          <t>NS Reg. 163/2025 (O.I.C. 2025-239, effective Sep 1 2025 — Workplace H&amp;S Regs amendments). Sep 1 2025: Psychological health/safety added to OHSA definition; employer harassment prevention policy required.</t>
        </is>
      </c>
      <c r="H10" s="3" t="inlineStr">
        <is>
          <t>NS</t>
        </is>
      </c>
    </row>
    <row r="11" ht="80" customHeight="1">
      <c r="A11" s="19" t="inlineStr">
        <is>
          <t>2</t>
        </is>
      </c>
      <c r="B11" s="3" t="inlineStr">
        <is>
          <t>Workers Compensation Board of PEI (WCB PEI)</t>
        </is>
      </c>
      <c r="C11" s="3" t="inlineStr">
        <is>
          <t>Occupational Health and Safety Act</t>
        </is>
      </c>
      <c r="D11" s="3" t="inlineStr">
        <is>
          <t>RSPEI 1988, c. O-1.01 (current to Aug 1 2023 per official PDF)</t>
        </is>
      </c>
      <c r="E11" s="3" t="inlineStr">
        <is>
          <t>OHS Act General Regulations, EC2013-292. Current to Jan 1 2025. No dedicated standalone construction regulation. Post-2024 amendments proposed/anticipated in 2025 — specific reg number not confirmed [VERIFY_REQUIRED].</t>
        </is>
      </c>
      <c r="F11" s="3" t="inlineStr">
        <is>
          <t>wcb.pe.ca/workplace/ohsactandregulations | princeedwardisland.ca/sites/default/files/legislation/o-1-01-occupational_health_and_safety_act.pdf | princeedwardisland.ca/sites/default/files/legislation/o1-01g-occupational_health_and_safety_act_general_regulations.pdf</t>
        </is>
      </c>
      <c r="G11" s="3" t="inlineStr">
        <is>
          <t>General Regs consolidated to Jan 1 2025. Additional amendments anticipated 2025 — not confirmed [Conf 2].</t>
        </is>
      </c>
      <c r="H11" s="3" t="inlineStr">
        <is>
          <t>PEI</t>
        </is>
      </c>
    </row>
    <row r="12" ht="80" customHeight="1">
      <c r="A12" s="18" t="inlineStr">
        <is>
          <t>3</t>
        </is>
      </c>
      <c r="B12" s="3" t="inlineStr">
        <is>
          <t>Occupational Health and Safety Division, Government of Newfoundland and Labrador, Department of Government Services</t>
        </is>
      </c>
      <c r="C12" s="3" t="inlineStr">
        <is>
          <t>Occupational Health and Safety Act</t>
        </is>
      </c>
      <c r="D12" s="3" t="inlineStr">
        <is>
          <t>RSNL 1990, c. O-3. Amended spring 2023 (threshold change 10→20 workers, in effect Mar 1 2024).</t>
        </is>
      </c>
      <c r="E12" s="3" t="inlineStr">
        <is>
          <t>Occupational Health and Safety Regulations, 2012, NLR 5/12. Part XVII covers Construction specifically — primary construction-applicable section.</t>
        </is>
      </c>
      <c r="F12" s="3" t="inlineStr">
        <is>
          <t>assembly.nl.ca/legislation/sr/statutes/o03.htm (OHS Act) | assembly.nl.ca/legislation/sr/regulations/rc120005.htm (NLR 5/12) | gov.nl.ca/gs/ohs/ | ohsguide.workplacenl.ca</t>
        </is>
      </c>
      <c r="G12" s="3" t="inlineStr">
        <is>
          <t>Spring 2023: OHS Act amended — OHS program/committee threshold raised to ≥20 workers; in effect Mar 1 2024.</t>
        </is>
      </c>
      <c r="H12" s="3" t="inlineStr">
        <is>
          <t>NL</t>
        </is>
      </c>
    </row>
    <row r="13" ht="80" customHeight="1">
      <c r="A13" s="18" t="inlineStr">
        <is>
          <t>3</t>
        </is>
      </c>
      <c r="B13" s="3" t="inlineStr">
        <is>
          <t>Workers' Safety and Compensation Board (WSCB) of Yukon</t>
        </is>
      </c>
      <c r="C13" s="3" t="inlineStr">
        <is>
          <t>Workers' Safety and Compensation Act</t>
        </is>
      </c>
      <c r="D13" s="3" t="inlineStr">
        <is>
          <t>SY 2021, c. 11 (in force Jul 1 2022 — replaced former Workers' Compensation Act and OHS Act). ⚠ CORRECTION for SKILL.md: Prior entry cited 'RSY 2002 c 159 REPEALED July 1, 2022 — replaced by WSCA' — confirmed correct.</t>
        </is>
      </c>
      <c r="E13" s="3" t="inlineStr">
        <is>
          <t>Workplace Health and Safety Regulations under WSCA. No standalone construction regulation. Part 10 — Construction and Building Safety is primary construction section.</t>
        </is>
      </c>
      <c r="F13" s="3" t="inlineStr">
        <is>
          <t>wcb.yk.ca/web-0070 (Legislation and Regulations) | wcb.yk.ca/regulations/part-10-construction-and-building-safety (Part 10) | laws.yukon.ca/cms/images/LEGISLATION/PRINCIPAL/2021/2021-0011/2021-0011.pdf (WSCA PDF)</t>
        </is>
      </c>
      <c r="G13" s="3" t="inlineStr">
        <is>
          <t>WSCA in force Jul 1 2022 (replaced prior legislation). NBC 2020 adopted with territorial variations, effective Apr 1 2023.</t>
        </is>
      </c>
      <c r="H13" s="3" t="inlineStr">
        <is>
          <t>YT</t>
        </is>
      </c>
    </row>
    <row r="14" ht="80" customHeight="1">
      <c r="A14" s="18" t="inlineStr">
        <is>
          <t>3</t>
        </is>
      </c>
      <c r="B14" s="3" t="inlineStr">
        <is>
          <t>Workers' Safety and Compensation Commission (WSCC) — administers OHS for both NT and NU</t>
        </is>
      </c>
      <c r="C14" s="3" t="inlineStr">
        <is>
          <t>Safety Act</t>
        </is>
      </c>
      <c r="D14" s="3" t="inlineStr">
        <is>
          <t>RSNWT 1988, c. S-1</t>
        </is>
      </c>
      <c r="E14" s="3" t="inlineStr">
        <is>
          <t>Northwest Territories Occupational Health and Safety Regulations, 2015 (latest update: R-090-2024, registered Sep 23 2024). No dedicated standalone construction regulation. OHS Regulations contain construction-specific sections. [VERIFY_REQUIRED — direct URL to R-090-2024 consolidated text not confirmed in research]</t>
        </is>
      </c>
      <c r="F14" s="3" t="inlineStr">
        <is>
          <t>wscc.nt.ca/about-wscc/policy-and-legislation/legislation | justice.gov.nt.ca/en/files/legislation/safety/safety.r8.pdf (OHS Regs PDF — verify current) | justice.gov.nt.ca (current versions portal)</t>
        </is>
      </c>
      <c r="G14" s="3" t="inlineStr">
        <is>
          <t>R-090-2024: Reg amending OHS Regs, registered Sep 23 2024. R-003-2021: Redefined 'isolated work site'. NBC 2020 adopted in full, enforcement date Oct 1 2024.</t>
        </is>
      </c>
      <c r="H14" s="3" t="inlineStr">
        <is>
          <t>NT</t>
        </is>
      </c>
    </row>
    <row r="15" ht="80" customHeight="1">
      <c r="A15" s="18" t="inlineStr">
        <is>
          <t>3</t>
        </is>
      </c>
      <c r="B15" s="3" t="inlineStr">
        <is>
          <t>Workers' Safety and Compensation Commission (WSCC) — same body as NT</t>
        </is>
      </c>
      <c r="C15" s="3" t="inlineStr">
        <is>
          <t>Consolidation of Safety Act</t>
        </is>
      </c>
      <c r="D15" s="3" t="inlineStr">
        <is>
          <t>RSNWT(Nu) 1988, c. S-1 (as consolidated for Nunavut)</t>
        </is>
      </c>
      <c r="E15" s="3" t="inlineStr">
        <is>
          <t>Official Consolidation of Occupational Health and Safety Regulations, 2016 (with 2021 update). No dedicated standalone construction regulation. NBC adoption: Nunavut on NBC 2015 as of research date (2020 adoption TBC — not yet confirmed).</t>
        </is>
      </c>
      <c r="F15" s="3" t="inlineStr">
        <is>
          <t>wscc.nt.ca/about-wscc/policy-and-legislation/legislation (covers both NT and NU) | nunavutlegislation.ca (Consolidation of Safety Act and OHS Regulations)</t>
        </is>
      </c>
      <c r="G15" s="3" t="inlineStr">
        <is>
          <t>2021 amendments updated definition of 'isolated work site'. NBC 2020 adoption date for NU: 'to be confirmed' as of Aug 2024 — still on NBC 2015. [VERIFY_REQUIRED]</t>
        </is>
      </c>
      <c r="H15" s="3" t="inlineStr">
        <is>
          <t>NU</t>
        </is>
      </c>
    </row>
    <row r="17" ht="22" customHeight="1">
      <c r="A17" s="4" t="inlineStr">
        <is>
          <t>NATIONAL BUILDING CODE (NBC) — Provincial/Territorial Adoption Status (from Phase 1 Research Q5)</t>
        </is>
      </c>
    </row>
    <row r="18" ht="20" customHeight="1">
      <c r="A18" s="20" t="inlineStr">
        <is>
          <t>Jurisdiction</t>
        </is>
      </c>
      <c r="B18" s="20" t="inlineStr">
        <is>
          <t>NBC Edition</t>
        </is>
      </c>
      <c r="C18" s="20" t="inlineStr">
        <is>
          <t>Adoption Status</t>
        </is>
      </c>
      <c r="D18" s="20" t="inlineStr">
        <is>
          <t>Enforcement Date</t>
        </is>
      </c>
      <c r="E18" s="20" t="inlineStr">
        <is>
          <t>Source/Notes</t>
        </is>
      </c>
    </row>
    <row r="19" ht="20" customHeight="1">
      <c r="A19" s="3" t="inlineStr">
        <is>
          <t>BC</t>
        </is>
      </c>
      <c r="B19" s="3" t="inlineStr">
        <is>
          <t>NBC 2020 (BC Building Code 2024)</t>
        </is>
      </c>
      <c r="C19" s="3" t="inlineStr">
        <is>
          <t>With provincial variations</t>
        </is>
      </c>
      <c r="D19" s="3" t="inlineStr">
        <is>
          <t>March 8, 2024</t>
        </is>
      </c>
      <c r="E19" s="3" t="inlineStr">
        <is>
          <t>cbhcc-cchcc.ca/en/provincial-territorial-adoption/ [Conf 3]</t>
        </is>
      </c>
    </row>
    <row r="20" ht="20" customHeight="1">
      <c r="A20" s="16" t="inlineStr">
        <is>
          <t>AB</t>
        </is>
      </c>
      <c r="B20" s="16" t="inlineStr">
        <is>
          <t>NBC 2020 (Alberta Building Code 2023)</t>
        </is>
      </c>
      <c r="C20" s="16" t="inlineStr">
        <is>
          <t>With provincial variations (Tier 1 energy)</t>
        </is>
      </c>
      <c r="D20" s="16" t="inlineStr">
        <is>
          <t>May 1, 2024</t>
        </is>
      </c>
      <c r="E20" s="16" t="inlineStr">
        <is>
          <t>cbhcc-cchcc.ca [Conf 3]</t>
        </is>
      </c>
    </row>
    <row r="21" ht="20" customHeight="1">
      <c r="A21" s="3" t="inlineStr">
        <is>
          <t>SK</t>
        </is>
      </c>
      <c r="B21" s="3" t="inlineStr">
        <is>
          <t>NBC 2020, Energy Tier 1</t>
        </is>
      </c>
      <c r="C21" s="3" t="inlineStr">
        <is>
          <t>With provincial variations</t>
        </is>
      </c>
      <c r="D21" s="3" t="inlineStr">
        <is>
          <t>January 1, 2024</t>
        </is>
      </c>
      <c r="E21" s="3" t="inlineStr">
        <is>
          <t>cbhcc-cchcc.ca [Conf 3]</t>
        </is>
      </c>
    </row>
    <row r="22" ht="20" customHeight="1">
      <c r="A22" s="16" t="inlineStr">
        <is>
          <t>MB</t>
        </is>
      </c>
      <c r="B22" s="16" t="inlineStr">
        <is>
          <t>NBC 2020, Energy Tier 1</t>
        </is>
      </c>
      <c r="C22" s="16" t="inlineStr">
        <is>
          <t>With provincial variations</t>
        </is>
      </c>
      <c r="D22" s="16" t="inlineStr">
        <is>
          <t>January 1, 2024</t>
        </is>
      </c>
      <c r="E22" s="16" t="inlineStr">
        <is>
          <t>cbhcc-cchcc.ca [Conf 3]</t>
        </is>
      </c>
    </row>
    <row r="23" ht="20" customHeight="1">
      <c r="A23" s="3" t="inlineStr">
        <is>
          <t>ON</t>
        </is>
      </c>
      <c r="B23" s="3" t="inlineStr">
        <is>
          <t>NBC 2020 (Ontario Building Code 2024)</t>
        </is>
      </c>
      <c r="C23" s="3" t="inlineStr">
        <is>
          <t>With provincial variations</t>
        </is>
      </c>
      <c r="D23" s="3" t="inlineStr">
        <is>
          <t>January 1, 2025</t>
        </is>
      </c>
      <c r="E23" s="3" t="inlineStr">
        <is>
          <t>cbhcc-cchcc.ca [Conf 3]</t>
        </is>
      </c>
    </row>
    <row r="24" ht="20" customHeight="1">
      <c r="A24" s="16" t="inlineStr">
        <is>
          <t>QC</t>
        </is>
      </c>
      <c r="B24" s="16" t="inlineStr">
        <is>
          <t>NBC 2020 (QCC 2022, updated Apr 2025)</t>
        </is>
      </c>
      <c r="C24" s="16" t="inlineStr">
        <is>
          <t>With provincial variations</t>
        </is>
      </c>
      <c r="D24" s="16" t="inlineStr">
        <is>
          <t>April 17, 2025</t>
        </is>
      </c>
      <c r="E24" s="16" t="inlineStr">
        <is>
          <t>cbhcc-cchcc.ca [Conf 3]</t>
        </is>
      </c>
    </row>
    <row r="25" ht="20" customHeight="1">
      <c r="A25" s="3" t="inlineStr">
        <is>
          <t>NB</t>
        </is>
      </c>
      <c r="B25" s="3" t="inlineStr">
        <is>
          <t>NBC 2020, Energy Tier 2</t>
        </is>
      </c>
      <c r="C25" s="3" t="inlineStr">
        <is>
          <t>With provincial variations</t>
        </is>
      </c>
      <c r="D25" s="3" t="inlineStr">
        <is>
          <t>May 1, 2025</t>
        </is>
      </c>
      <c r="E25" s="3" t="inlineStr">
        <is>
          <t>cbhcc-cchcc.ca [Conf 3]</t>
        </is>
      </c>
    </row>
    <row r="26" ht="20" customHeight="1">
      <c r="A26" s="16" t="inlineStr">
        <is>
          <t>NS</t>
        </is>
      </c>
      <c r="B26" s="16" t="inlineStr">
        <is>
          <t>NBC 2020, Energy Tier 1</t>
        </is>
      </c>
      <c r="C26" s="16" t="inlineStr">
        <is>
          <t>With provincial variations</t>
        </is>
      </c>
      <c r="D26" s="16" t="inlineStr">
        <is>
          <t>April 1, 2025</t>
        </is>
      </c>
      <c r="E26" s="16" t="inlineStr">
        <is>
          <t>cbhcc-cchcc.ca [Conf 3]</t>
        </is>
      </c>
    </row>
    <row r="27" ht="20" customHeight="1">
      <c r="A27" s="3" t="inlineStr">
        <is>
          <t>PEI</t>
        </is>
      </c>
      <c r="B27" s="3" t="inlineStr">
        <is>
          <t>NBC 2020, Energy Tier 1</t>
        </is>
      </c>
      <c r="C27" s="3" t="inlineStr">
        <is>
          <t>Adopted in full</t>
        </is>
      </c>
      <c r="D27" s="3" t="inlineStr">
        <is>
          <t>March 31, 2024</t>
        </is>
      </c>
      <c r="E27" s="3" t="inlineStr">
        <is>
          <t>cbhcc-cchcc.ca [Conf 3]</t>
        </is>
      </c>
    </row>
    <row r="28" ht="20" customHeight="1">
      <c r="A28" s="16" t="inlineStr">
        <is>
          <t>NL</t>
        </is>
      </c>
      <c r="B28" s="16" t="inlineStr">
        <is>
          <t>NBC 2020</t>
        </is>
      </c>
      <c r="C28" s="16" t="inlineStr">
        <is>
          <t>With provincial variations</t>
        </is>
      </c>
      <c r="D28" s="16" t="inlineStr">
        <is>
          <t>September 28, 2022</t>
        </is>
      </c>
      <c r="E28" s="16" t="inlineStr">
        <is>
          <t>cbhcc-cchcc.ca [Conf 3]</t>
        </is>
      </c>
    </row>
    <row r="29" ht="20" customHeight="1">
      <c r="A29" s="3" t="inlineStr">
        <is>
          <t>YT</t>
        </is>
      </c>
      <c r="B29" s="3" t="inlineStr">
        <is>
          <t>NBC 2020, Energy Tier 1</t>
        </is>
      </c>
      <c r="C29" s="3" t="inlineStr">
        <is>
          <t>With territorial variations</t>
        </is>
      </c>
      <c r="D29" s="3" t="inlineStr">
        <is>
          <t>April 1, 2023</t>
        </is>
      </c>
      <c r="E29" s="3" t="inlineStr">
        <is>
          <t>cbhcc-cchcc.ca [Conf 3]</t>
        </is>
      </c>
    </row>
    <row r="30" ht="20" customHeight="1">
      <c r="A30" s="16" t="inlineStr">
        <is>
          <t>NT</t>
        </is>
      </c>
      <c r="B30" s="16" t="inlineStr">
        <is>
          <t>NBC 2020</t>
        </is>
      </c>
      <c r="C30" s="16" t="inlineStr">
        <is>
          <t>Adopted in full</t>
        </is>
      </c>
      <c r="D30" s="16" t="inlineStr">
        <is>
          <t>October 1, 2024</t>
        </is>
      </c>
      <c r="E30" s="16" t="inlineStr">
        <is>
          <t>cbhcc-cchcc.ca [Conf 3]</t>
        </is>
      </c>
    </row>
    <row r="31" ht="20" customHeight="1">
      <c r="A31" s="12" t="inlineStr">
        <is>
          <t>NU</t>
        </is>
      </c>
      <c r="B31" s="12" t="inlineStr">
        <is>
          <t>NBC 2015 ⚠ Still on 2015</t>
        </is>
      </c>
      <c r="C31" s="12" t="inlineStr">
        <is>
          <t>Adopted in full (2020 TBC)</t>
        </is>
      </c>
      <c r="D31" s="12" t="inlineStr">
        <is>
          <t>September 8, 2018 (2015 edition)</t>
        </is>
      </c>
      <c r="E31" s="12" t="inlineStr">
        <is>
          <t>cbhcc-cchcc.ca — 2020 adoption date 'to be confirmed' as of Aug 2024 [Conf 3]</t>
        </is>
      </c>
    </row>
  </sheetData>
  <mergeCells count="2">
    <mergeCell ref="A17:H17"/>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7"/>
  <sheetViews>
    <sheetView showGridLines="0" workbookViewId="0">
      <pane ySplit="2" topLeftCell="A3" activePane="bottomLeft" state="frozen"/>
      <selection pane="bottomLeft" activeCell="A1" sqref="A1"/>
    </sheetView>
  </sheetViews>
  <sheetFormatPr baseColWidth="8" defaultRowHeight="15"/>
  <cols>
    <col width="6" customWidth="1" min="1" max="1"/>
    <col width="12" customWidth="1" min="2" max="2"/>
    <col width="35" customWidth="1" min="3" max="3"/>
    <col width="30" customWidth="1" min="4" max="4"/>
    <col width="15" customWidth="1" min="5" max="5"/>
    <col width="18" customWidth="1" min="6" max="6"/>
    <col width="20" customWidth="1" min="7" max="7"/>
    <col width="55" customWidth="1" min="8" max="8"/>
    <col width="30" customWidth="1" min="9" max="9"/>
    <col width="12" customWidth="1" min="10" max="10"/>
  </cols>
  <sheetData>
    <row r="1" ht="30" customHeight="1">
      <c r="A1" s="17" t="inlineStr">
        <is>
          <t>SECTION B — CREDENTIALS | Construction Industry | Phase 1 Seed — VERIFY_REQUIRED flags set for items not covered in Phase 1 Research</t>
        </is>
      </c>
    </row>
    <row r="2" ht="22" customHeight="1">
      <c r="A2" s="4" t="inlineStr">
        <is>
          <t>Conf</t>
        </is>
      </c>
      <c r="B2" s="4" t="inlineStr">
        <is>
          <t>Province</t>
        </is>
      </c>
      <c r="C2" s="4" t="inlineStr">
        <is>
          <t>Credential Full Name</t>
        </is>
      </c>
      <c r="D2" s="4" t="inlineStr">
        <is>
          <t>Issuing Body</t>
        </is>
      </c>
      <c r="E2" s="4" t="inlineStr">
        <is>
          <t>Renewal Period</t>
        </is>
      </c>
      <c r="F2" s="4" t="inlineStr">
        <is>
          <t>Portability</t>
        </is>
      </c>
      <c r="G2" s="4" t="inlineStr">
        <is>
          <t>L or IS</t>
        </is>
      </c>
      <c r="H2" s="4" t="inlineStr">
        <is>
          <t>Verification URL / Contact</t>
        </is>
      </c>
      <c r="I2" s="4" t="inlineStr">
        <is>
          <t>Applies To</t>
        </is>
      </c>
      <c r="J2" s="4" t="inlineStr">
        <is>
          <t>Notes / Flags</t>
        </is>
      </c>
    </row>
    <row r="3" ht="60" customHeight="1">
      <c r="A3" s="5" t="inlineStr">
        <is>
          <t>3</t>
        </is>
      </c>
      <c r="B3" s="3" t="inlineStr">
        <is>
          <t>ALL</t>
        </is>
      </c>
      <c r="C3" s="3" t="inlineStr">
        <is>
          <t>Standard First Aid + CPR Level C</t>
        </is>
      </c>
      <c r="D3" s="3" t="inlineStr">
        <is>
          <t>Red Cross / St. John Ambulance / Lifesaving Society (recognized providers)</t>
        </is>
      </c>
      <c r="E3" s="3" t="inlineStr">
        <is>
          <t>3 years (First Aid); 1 year (CPR)</t>
        </is>
      </c>
      <c r="F3" s="3" t="inlineStr">
        <is>
          <t>National (provider-recognized)</t>
        </is>
      </c>
      <c r="G3" s="3" t="inlineStr">
        <is>
          <t>IS (OHS legislation requires adequate first aid — specific provider not legislated)</t>
        </is>
      </c>
      <c r="H3" s="3" t="inlineStr">
        <is>
          <t>redcross.ca | sja.ca | lifesaving.ca</t>
        </is>
      </c>
      <c r="I3" s="3" t="inlineStr">
        <is>
          <t>All workers on construction sites</t>
        </is>
      </c>
      <c r="J3" s="3" t="inlineStr">
        <is>
          <t>Minimum: 1 worker per shift with Standard First Aid cert per OHS Code/Regs in each province</t>
        </is>
      </c>
    </row>
    <row r="4" ht="60" customHeight="1">
      <c r="A4" s="5" t="inlineStr">
        <is>
          <t>3</t>
        </is>
      </c>
      <c r="B4" s="3" t="inlineStr">
        <is>
          <t>ALL</t>
        </is>
      </c>
      <c r="C4" s="3" t="inlineStr">
        <is>
          <t>WHMIS 2015 (HPR-compliant)</t>
        </is>
      </c>
      <c r="D4" s="3" t="inlineStr">
        <is>
          <t>Employer-delivered or accredited training provider</t>
        </is>
      </c>
      <c r="E4" s="3" t="inlineStr">
        <is>
          <t>No fixed renewal; annual review recommended; on hazard change</t>
        </is>
      </c>
      <c r="F4" s="3" t="inlineStr">
        <is>
          <t>National (content standard uniform post-HPR transition)</t>
        </is>
      </c>
      <c r="G4" s="3" t="inlineStr">
        <is>
          <t>L — Hazardous Products Act / HPR (transition ended Dec 14 2025)</t>
        </is>
      </c>
      <c r="H4" s="3" t="inlineStr">
        <is>
          <t>whmis.org | canada.ca/en/health-canada/services/environmental-workplace-health/occupational-health-safety/whmis</t>
        </is>
      </c>
      <c r="I4" s="3" t="inlineStr">
        <is>
          <t>All workers handling or exposed to hazardous products</t>
        </is>
      </c>
      <c r="J4" s="3" t="inlineStr">
        <is>
          <t>WHMIS 2015 name retired post Dec 14 2025; now simply 'WHMIS' under HPR GHS Rev 7/8</t>
        </is>
      </c>
    </row>
    <row r="5" ht="60" customHeight="1">
      <c r="A5" s="7" t="inlineStr">
        <is>
          <t>2</t>
        </is>
      </c>
      <c r="B5" s="3" t="inlineStr">
        <is>
          <t>ALL</t>
        </is>
      </c>
      <c r="C5" s="3" t="inlineStr">
        <is>
          <t>Transportation of Dangerous Goods (TDG)</t>
        </is>
      </c>
      <c r="D5" s="3" t="inlineStr">
        <is>
          <t>Employer or accredited provider</t>
        </is>
      </c>
      <c r="E5" s="3" t="inlineStr">
        <is>
          <t>3 years</t>
        </is>
      </c>
      <c r="F5" s="3" t="inlineStr">
        <is>
          <t>National (SOR/2001-286 federal standard)</t>
        </is>
      </c>
      <c r="G5" s="3" t="inlineStr">
        <is>
          <t>L — TDG Regulations, SOR/2001-286 (last amended Oct 25 2024 — Phase 2 site registration)</t>
        </is>
      </c>
      <c r="H5" s="3" t="inlineStr">
        <is>
          <t>tc.gc.ca/en/services/transportation/dangerous-goods.html</t>
        </is>
      </c>
      <c r="I5" s="3" t="inlineStr">
        <is>
          <t>Workers who handle, transport, or offer for transport dangerous goods on construction sites</t>
        </is>
      </c>
      <c r="J5" s="3" t="inlineStr">
        <is>
          <t>Applies where DG classes present (e.g., fuels, compressed gases, explosives). Verify applicable UN classes per client site.</t>
        </is>
      </c>
    </row>
    <row r="6" ht="60" customHeight="1">
      <c r="A6" s="5" t="inlineStr">
        <is>
          <t>3</t>
        </is>
      </c>
      <c r="B6" s="3" t="inlineStr">
        <is>
          <t>ALL</t>
        </is>
      </c>
      <c r="C6" s="3" t="inlineStr">
        <is>
          <t>Fall Protection Training</t>
        </is>
      </c>
      <c r="D6" s="3" t="inlineStr">
        <is>
          <t>AB: Competent trainer per OHS Code. BC: WorkSafeBC-competency-based. ON: CPO-approved provider ONLY (O. Reg. 297/13). All others: Competent trainer [VERIFY_REQUIRED per province]</t>
        </is>
      </c>
      <c r="E6" s="3" t="inlineStr">
        <is>
          <t>AB: 3 years recommended (no legislated renewal). BC: No fixed renewal (competency-based). ON: 3 years — CONFIRMED current Apr 21 2026 (initial 8h; refresher ~4-5h). Others: [VERIFY_REQUIRED]</t>
        </is>
      </c>
      <c r="F6" s="3" t="inlineStr">
        <is>
          <t>ON: Province-specific (CPO approval not portable). AB/BC/others: Competency-based recognition varies</t>
        </is>
      </c>
      <c r="G6" s="3" t="inlineStr">
        <is>
          <t>ON=L (O. Reg. 297/13 + O. Reg. 213/91 s.26.2(1.1)). AB=L (OHS Code Part 9). Others=L</t>
        </is>
      </c>
      <c r="H6" s="3" t="inlineStr">
        <is>
          <t>ON WAH providers: ontario.ca/page/training-working-heights (CPO-approved list, updated Apr 21 2026). AB: search-ohs-laws.alberta.ca/…/part-9-fall-protection/. BC: worksafebc.com/en/law-policy/occupational-health-safety/searchable-ohs-regulation/ohs-regulation/part-11-falls-protection</t>
        </is>
      </c>
      <c r="I6" s="3" t="inlineStr">
        <is>
          <t>All workers on construction projects using fall protection equipment</t>
        </is>
      </c>
      <c r="J6" s="3" t="inlineStr">
        <is>
          <t>⚠ ON CRITICAL: Training must be BOTH program-approved AND provider-approved by CPO. NL certificates recognized in ON with additional requirements (MLITSD reciprocity). Not nationally portable.</t>
        </is>
      </c>
    </row>
    <row r="7" ht="60" customHeight="1">
      <c r="A7" s="5" t="inlineStr">
        <is>
          <t>3</t>
        </is>
      </c>
      <c r="B7" s="3" t="inlineStr">
        <is>
          <t>ALL</t>
        </is>
      </c>
      <c r="C7" s="3" t="inlineStr">
        <is>
          <t>Confined Space Entry Training</t>
        </is>
      </c>
      <c r="D7" s="3" t="inlineStr">
        <is>
          <t>Employer / competent trainer / training provider per provincial OHS legislation</t>
        </is>
      </c>
      <c r="E7" s="3" t="inlineStr">
        <is>
          <t>AB: 1 year (no incident) / 2 years (incident occurred) (OHS Reg s.46/58). Others: [VERIFY_REQUIRED per province]</t>
        </is>
      </c>
      <c r="F7" s="3" t="inlineStr">
        <is>
          <t>Not nationally portable — province-specific competency assessment</t>
        </is>
      </c>
      <c r="G7" s="3" t="inlineStr">
        <is>
          <t>L — OHS Code/Regs per province (construction sites with confined spaces)</t>
        </is>
      </c>
      <c r="H7" s="3" t="inlineStr">
        <is>
          <t>[VERIFY_REQUIRED per province for provider lists]</t>
        </is>
      </c>
      <c r="I7" s="3" t="inlineStr">
        <is>
          <t>Workers assigned duties related to confined space entry/rescue/attendant roles</t>
        </is>
      </c>
      <c r="J7" s="3" t="inlineStr">
        <is>
          <t>AB: confirmed retention periods from SKILL.md. Confined space Code of Practice required where applicable.</t>
        </is>
      </c>
    </row>
    <row r="8" ht="60" customHeight="1">
      <c r="A8" s="7" t="inlineStr">
        <is>
          <t>2</t>
        </is>
      </c>
      <c r="B8" s="14" t="inlineStr">
        <is>
          <t>ALL</t>
        </is>
      </c>
      <c r="C8" s="14" t="inlineStr">
        <is>
          <t>COR — Certificate of Recognition (Construction)</t>
        </is>
      </c>
      <c r="D8" s="14" t="inlineStr">
        <is>
          <t>⚠ CORRECTION from SKILL.md: For Construction, issuing CORAs differ from Oil &amp; Gas. AB=ACSA (acsa-safety.org). BC=BCCSA (bccsa.ca). SK=SCSA (scsaonline.ca). MB=CSAM (constructionsafety.ca). ON=IHSA (ihsa.ca). QC=ASP Construction (aspconst.com). NB=NBCSA (nbcsa.ca). NS=Construction Safety NS [VERIFY_REQUIRED — URL]. NL=NL Construction Safety Association [VERIFY_REQUIRED — URL]. NT/NU=Northern Safety Association [VERIFY_REQUIRED — scope]. YT=Northern Safety Network Yukon [VERIFY_REQUIRED — URL]. PEI=No COR program.</t>
        </is>
      </c>
      <c r="E8" s="14" t="inlineStr">
        <is>
          <t>3-year external + annual maintenance (≥80% score external; ≥60% maintenance) — confirmed unchanged Mar 1 2026</t>
        </is>
      </c>
      <c r="F8" s="14" t="inlineStr">
        <is>
          <t>National program (CFCSA standard) — recognized across participating CORAs</t>
        </is>
      </c>
      <c r="G8" s="14" t="inlineStr">
        <is>
          <t>IS (industry standard; mandatory for many prime contractors on large projects; often WCB PIR rebate eligible)</t>
        </is>
      </c>
      <c r="H8" s="14" t="inlineStr">
        <is>
          <t>acsa-safety.org (AB) | bccsa.ca (BC) | scsaonline.ca (SK) | constructionsafety.ca (MB) | ihsa.ca (ON) | aspconst.com (QC) | nbcsa.ca (NB) | [VERIFY_REQUIRED — NS, NL, YT, NT/NU URLs]</t>
        </is>
      </c>
      <c r="I8" s="14" t="inlineStr">
        <is>
          <t>Employers / contractors</t>
        </is>
      </c>
      <c r="J8" s="14" t="inlineStr">
        <is>
          <t>Do NOT use Energy Safety Canada (ESC) for construction COR — ESC is Oil &amp; Gas CORA only.</t>
        </is>
      </c>
    </row>
    <row r="9" ht="60" customHeight="1">
      <c r="A9" s="7" t="inlineStr">
        <is>
          <t>2</t>
        </is>
      </c>
      <c r="B9" s="3" t="inlineStr">
        <is>
          <t>ALL</t>
        </is>
      </c>
      <c r="C9" s="3" t="inlineStr">
        <is>
          <t>NCSO — National Construction Safety Officer</t>
        </is>
      </c>
      <c r="D9" s="3" t="inlineStr">
        <is>
          <t>CFCSA trademark — administered via provincial CORAs (see COR entry above for CORA list per province)</t>
        </is>
      </c>
      <c r="E9" s="3" t="inlineStr">
        <is>
          <t>Renewal cycle per issuing CORA — typically linked to COR maintenance cycle [VERIFY_REQUIRED — confirm per CORA]</t>
        </is>
      </c>
      <c r="F9" s="3" t="inlineStr">
        <is>
          <t>National (CFCSA trademark)</t>
        </is>
      </c>
      <c r="G9" s="3" t="inlineStr">
        <is>
          <t>IS (recognized industry credential; often required by large GCs and owners)</t>
        </is>
      </c>
      <c r="H9" s="3" t="inlineStr">
        <is>
          <t>cfcsa.com [VERIFY_REQUIRED — confirm current CFCSA lookup process per CORA]</t>
        </is>
      </c>
      <c r="I9" s="3" t="inlineStr">
        <is>
          <t>Safety officers / safety advisors on construction sites</t>
        </is>
      </c>
      <c r="J9" s="3" t="inlineStr">
        <is>
          <t>Verify current NCSO renewal requirements at each provincial CORA — may vary.</t>
        </is>
      </c>
    </row>
    <row r="10" ht="60" customHeight="1">
      <c r="A10" s="5" t="inlineStr">
        <is>
          <t>3</t>
        </is>
      </c>
      <c r="B10" s="3" t="inlineStr">
        <is>
          <t>ALL</t>
        </is>
      </c>
      <c r="C10" s="3" t="inlineStr">
        <is>
          <t>CRSP — Canadian Registered Safety Professional</t>
        </is>
      </c>
      <c r="D10" s="3" t="inlineStr">
        <is>
          <t>Board of Canadian Registered Safety Professionals (BCRSP)</t>
        </is>
      </c>
      <c r="E10" s="3" t="inlineStr">
        <is>
          <t>5-year CPD cycle; 25 CPD points required; Mar 30 annual submission deadline; mandatory ethics course</t>
        </is>
      </c>
      <c r="F10" s="3" t="inlineStr">
        <is>
          <t>National</t>
        </is>
      </c>
      <c r="G10" s="3" t="inlineStr">
        <is>
          <t>IS (professional designation — recognized across all industries)</t>
        </is>
      </c>
      <c r="H10" s="3" t="inlineStr">
        <is>
          <t>bcrsp.ca/en/TemporaryNotification_Search (name verification). Note: Jan–Mar renewal caveat — certificates may show 'expired' during renewal processing window.</t>
        </is>
      </c>
      <c r="I10" s="3" t="inlineStr">
        <is>
          <t>Safety professionals / HSE managers</t>
        </is>
      </c>
      <c r="J10" s="3" t="inlineStr">
        <is>
          <t>From SKILL.md verified facts. Not a legislated requirement but frequently required by owners/GCs.</t>
        </is>
      </c>
    </row>
    <row r="11" ht="60" customHeight="1">
      <c r="A11" s="5" t="inlineStr">
        <is>
          <t>3</t>
        </is>
      </c>
      <c r="B11" s="3" t="inlineStr">
        <is>
          <t>ON</t>
        </is>
      </c>
      <c r="C11" s="3" t="inlineStr">
        <is>
          <t>Working at Heights (WAH) — Ontario CPO-Approved</t>
        </is>
      </c>
      <c r="D11" s="3" t="inlineStr">
        <is>
          <t>Chief Prevention Officer (CPO) / MLITSD — approved providers only</t>
        </is>
      </c>
      <c r="E11" s="3" t="inlineStr">
        <is>
          <t>3 years (initial full-day baseline ~8h; refresher ~4-5h half-day). CONFIRMED current as of Apr 21 2026.</t>
        </is>
      </c>
      <c r="F11" s="3" t="inlineStr">
        <is>
          <t>Ontario-specific ONLY. WorkplaceNL (NL) certificates recognized with additional requirements. NOT nationally portable.</t>
        </is>
      </c>
      <c r="G11" s="3" t="inlineStr">
        <is>
          <t>L — O. Reg. 297/13; O. Reg. 213/91 s.26.2(1.1)</t>
        </is>
      </c>
      <c r="H11" s="3" t="inlineStr">
        <is>
          <t>ontario.ca/page/training-working-heights (approved providers + marketplace, updated Apr 21 2026) | ontario.ca/laws/regulation/130297 (O. Reg. 297/13)</t>
        </is>
      </c>
      <c r="I11" s="3" t="inlineStr">
        <is>
          <t>Workers on construction projects using fall protection devices (travel restraint, fall restricting, fall arrest, safety net, work belt, safety belt)</t>
        </is>
      </c>
      <c r="J11" s="3" t="inlineStr">
        <is>
          <t>Updated program and provider standards effective Apr 1 2024. Training must be BOTH program-approved AND provider-approved by CPO.</t>
        </is>
      </c>
    </row>
    <row r="12" ht="60" customHeight="1">
      <c r="A12" s="5" t="inlineStr">
        <is>
          <t>3</t>
        </is>
      </c>
      <c r="B12" s="3" t="inlineStr">
        <is>
          <t>AB</t>
        </is>
      </c>
      <c r="C12" s="3" t="inlineStr">
        <is>
          <t>Asbestos Abatement Training (Government-Approved Agency)</t>
        </is>
      </c>
      <c r="D12" s="3" t="inlineStr">
        <is>
          <t>Government of Alberta approved training agencies</t>
        </is>
      </c>
      <c r="E12" s="3" t="inlineStr">
        <is>
          <t>No fixed renewal specified — training from government-approved agency required before handling asbestos in restricted area</t>
        </is>
      </c>
      <c r="F12" s="3" t="inlineStr">
        <is>
          <t>Alberta-specific</t>
        </is>
      </c>
      <c r="G12" s="3" t="inlineStr">
        <is>
          <t>L — OHS Code Part 4, Alta. Reg. 191/2021; Asbestos Manual updated Mar 2026</t>
        </is>
      </c>
      <c r="H12" s="3" t="inlineStr">
        <is>
          <t>alberta.ca/alberta-asbestos-abatement-manual (best practices; updated Mar 2026) | search-ohs-laws.alberta.ca/…/part-4-chemical-hazards-biological-hazards-and-harmful-substances/</t>
        </is>
      </c>
      <c r="I12" s="3" t="inlineStr">
        <is>
          <t>Workers handling asbestos in restricted areas; anyone conducting demolition/renovation/removal work that may release asbestos</t>
        </is>
      </c>
      <c r="J12" s="3" t="inlineStr">
        <is>
          <t>AB threshold: 'any detectable' concentration (most stringent in Canada). 72-hour advance notification to Alberta OHS required before commencing work that may release asbestos fibres. AB does NOT use ON-style Type 1/2/3 classification; uses risk level / restricted area designation. [Conf 2 for contractor licensing — not confirmed separate from worker training]</t>
        </is>
      </c>
    </row>
    <row r="13" ht="60" customHeight="1">
      <c r="A13" s="5" t="inlineStr">
        <is>
          <t>3</t>
        </is>
      </c>
      <c r="B13" s="3" t="inlineStr">
        <is>
          <t>BC</t>
        </is>
      </c>
      <c r="C13" s="3" t="inlineStr">
        <is>
          <t>Asbestos Abatement Worker Certification + Employer Licence</t>
        </is>
      </c>
      <c r="D13" s="3" t="inlineStr">
        <is>
          <t>WorkSafeBC (worker certification via approved provider; employer Asbestos Abatement Licence (AAL) via WorkSafeBC)</t>
        </is>
      </c>
      <c r="E13" s="3" t="inlineStr">
        <is>
          <t>Worker certificate: 3 years. Employer licence: 1 year (annual renewal).</t>
        </is>
      </c>
      <c r="F13" s="3" t="inlineStr">
        <is>
          <t>BC-specific</t>
        </is>
      </c>
      <c r="G13" s="3" t="inlineStr">
        <is>
          <t>L — Workers Compensation Act (via Bill 5, 2022); OHS Regulation Part 6.2. In force Jan 1 2024.</t>
        </is>
      </c>
      <c r="H13" s="3" t="inlineStr">
        <is>
          <t>worksafebc.com/en/health-safety/education-training-certification/asbestos-training-certification-licensing | worksafebc.com/en/health-safety/education-training-certification/asbestos-training-certification-licensing/i-am-a/for-employers</t>
        </is>
      </c>
      <c r="I13" s="3" t="inlineStr">
        <is>
          <t>Workers: anyone performing asbestos abatement work on a building. Employers: any employer conducting abatement for others.</t>
        </is>
      </c>
      <c r="J13" s="3" t="inlineStr">
        <is>
          <t>BC is FIRST province in Canada to implement formal licensing for asbestos abatement contractors (Jan 1 2024). BC threshold: 0.5% by dry weight (general); any detectable for vermiculite. BC does NOT use ON-style Type 1/2/3 classification.</t>
        </is>
      </c>
    </row>
    <row r="14" ht="60" customHeight="1">
      <c r="A14" s="5" t="inlineStr">
        <is>
          <t>3</t>
        </is>
      </c>
      <c r="B14" s="3" t="inlineStr">
        <is>
          <t>ON</t>
        </is>
      </c>
      <c r="C14" s="3" t="inlineStr">
        <is>
          <t>Asbestos Worker Training (Type 1 / Type 2 / Type 3)</t>
        </is>
      </c>
      <c r="D14" s="3" t="inlineStr">
        <is>
          <t>MLITSD-compliant training; Type 2/3 require notification to MOL</t>
        </is>
      </c>
      <c r="E14" s="3" t="inlineStr">
        <is>
          <t>Type 1: No specific renewal legislated. Type 2/3: No specific renewal legislated — competency-based with employer responsibility. [VERIFY_REQUIRED]</t>
        </is>
      </c>
      <c r="F14" s="3" t="inlineStr">
        <is>
          <t>Ontario-specific classification (Type 1/2/3)</t>
        </is>
      </c>
      <c r="G14" s="3" t="inlineStr">
        <is>
          <t>L — O. Reg. 278/05 (last amend O. Reg. 115/26; most provisions Jul 1 2026). ACM threshold: 0.5% by dry weight.</t>
        </is>
      </c>
      <c r="H14" s="3" t="inlineStr">
        <is>
          <t>ontario.ca/laws/regulation/050278 (current consolidated — Apr 20 2026 consolidation)</t>
        </is>
      </c>
      <c r="I14" s="3" t="inlineStr">
        <is>
          <t>Type 1: Low-risk (ceiling tiles &lt;7.5m², non-friable removal without cutting, hand tools + wetting, ≤1m² drywall joint compound). Type 2: Medium-risk (false ceiling access over ACM, ≤1m² friable ACM, enclosure, tape/sealant, ≥7.5m² tiles no damage, power tool + HEPA, glove bag, &gt;1m² drywall). Type 3: High-risk (&gt;1m² friable ACM, spray sealant, air handling equip removal, kiln demolition, power tool without HEPA, demolition where asbestos manufactured).</t>
        </is>
      </c>
      <c r="J14" s="3" t="inlineStr">
        <is>
          <t>O. Reg. 115/26 (Jul 1 2026): Adds CSA-approved respirators as alternative to NIOSH for Type 1 and Type 2/3 operations. Notification to MOL required for Type 2/3 work.</t>
        </is>
      </c>
    </row>
    <row r="15" ht="60" customHeight="1">
      <c r="A15" s="7" t="inlineStr">
        <is>
          <t>2</t>
        </is>
      </c>
      <c r="B15" s="3" t="inlineStr">
        <is>
          <t>MB</t>
        </is>
      </c>
      <c r="C15" s="3" t="inlineStr">
        <is>
          <t>Asbestos Abatement Training / Certification (PROPOSED — not yet enacted)</t>
        </is>
      </c>
      <c r="D15" s="3" t="inlineStr">
        <is>
          <t>[VERIFY_REQUIRED] — EngageMB consultation proposed: mandatory abatement training certification (WCB standard), public registry of certified employers, 3-year recertification, expanded building owner obligations</t>
        </is>
      </c>
      <c r="E15" s="3" t="inlineStr">
        <is>
          <t>3 years (proposed)</t>
        </is>
      </c>
      <c r="F15" s="3" t="inlineStr">
        <is>
          <t>MB-specific (if enacted)</t>
        </is>
      </c>
      <c r="G15" s="3" t="inlineStr">
        <is>
          <t>[VERIFY_REQUIRED — not confirmed enacted as of research date May 2026]</t>
        </is>
      </c>
      <c r="H15" s="3" t="inlineStr">
        <is>
          <t>web2.gov.mb.ca/laws/regs/current/217-2006.php (verify current WSH Reg status) | engagemb.ca/workplace-safety-and-health-regulation</t>
        </is>
      </c>
      <c r="I15" s="3" t="inlineStr">
        <is>
          <t>Workers and employers conducting asbestos abatement work in MB</t>
        </is>
      </c>
      <c r="J15" s="3" t="inlineStr">
        <is>
          <t>⚠ PROPOSED ONLY — verify enactment status before any compliance action. Currently MB does not have the same licensing regime as BC.</t>
        </is>
      </c>
    </row>
    <row r="16" ht="60" customHeight="1">
      <c r="A16" s="5" t="inlineStr">
        <is>
          <t>3</t>
        </is>
      </c>
      <c r="B16" s="3" t="inlineStr">
        <is>
          <t>ON</t>
        </is>
      </c>
      <c r="C16" s="3" t="inlineStr">
        <is>
          <t>Silica Awareness — Crystalline Silica (Construction)</t>
        </is>
      </c>
      <c r="D16" s="3" t="inlineStr">
        <is>
          <t>Employer-delivered (owner duty under OHSA s.30 to inform)</t>
        </is>
      </c>
      <c r="E16" s="3" t="inlineStr">
        <is>
          <t>No fixed renewal — ongoing employer duty of care</t>
        </is>
      </c>
      <c r="F16" s="3" t="inlineStr">
        <is>
          <t>Ontario-specific legislative duty; ACGIH TLVs referenced</t>
        </is>
      </c>
      <c r="G16" s="3" t="inlineStr">
        <is>
          <t>L — OHSA s.25(2)(h) (employer duty) + OHSA s.30 (owner must determine silica presence and inform contractors at bidding). O. Reg. 490/09 OEL: quartz 0.10 mg/m³ TWA; cristobalite 0.05 mg/m³ TWA (Note: O. Reg. 490/09 formally applies to non-construction employers; construction workers protected via OHSA general duty).</t>
        </is>
      </c>
      <c r="H16" s="3" t="inlineStr">
        <is>
          <t>ontario.ca/document/silica-construction-projects/legal-requirements | ontario.ca/laws/regulation/090490 (O. Reg. 490/09)</t>
        </is>
      </c>
      <c r="I16" s="3" t="inlineStr">
        <is>
          <t>Project owners (duty to inform); constructors; employers; workers on construction projects where silica is present (concrete, masonry, drywall, demolition)</t>
        </is>
      </c>
      <c r="J16" s="3" t="inlineStr">
        <is>
          <t>Critical for renovation/demolition. Federal OEL update not enacted as of research date. Verify provincial OELs per province in their OHS Code chemical hazard schedules.</t>
        </is>
      </c>
    </row>
    <row r="17" ht="60" customHeight="1">
      <c r="A17" s="7" t="inlineStr">
        <is>
          <t>2</t>
        </is>
      </c>
      <c r="B17" s="3" t="inlineStr">
        <is>
          <t>ALL</t>
        </is>
      </c>
      <c r="C17" s="3" t="inlineStr">
        <is>
          <t>Carpenter — Red Seal (403A)</t>
        </is>
      </c>
      <c r="D17" s="3" t="inlineStr">
        <is>
          <t>Skilled Trades Ontario (ON) / ITA BC / AIT AB / SATCC SK / Apprenticeship Manitoba / CCQ (QC) / [VERIFY_REQUIRED per province]</t>
        </is>
      </c>
      <c r="E17" s="3" t="inlineStr">
        <is>
          <t>Journeyperson certificate — no expiry on Red Seal. Apprenticeship period varies by province.</t>
        </is>
      </c>
      <c r="F17" s="3" t="inlineStr">
        <is>
          <t>National (Red Seal) — Challenge exam required in receiving province</t>
        </is>
      </c>
      <c r="G17" s="3" t="inlineStr">
        <is>
          <t>L (designated trade in most provinces — [VERIFY_REQUIRED compulsory status per province])</t>
        </is>
      </c>
      <c r="H17" s="3" t="inlineStr">
        <is>
          <t>[VERIFY_REQUIRED — public lookup URLs per province for carpenter trade certificates]</t>
        </is>
      </c>
      <c r="I17" s="3" t="inlineStr">
        <is>
          <t>Journeypersons and apprentices</t>
        </is>
      </c>
      <c r="J17" s="3" t="inlineStr">
        <is>
          <t>Residential/commercial/industrial scope varies by province. Priority Perplexity items: confirm compulsory designated status per province.</t>
        </is>
      </c>
    </row>
    <row r="18" ht="60" customHeight="1">
      <c r="A18" s="7" t="inlineStr">
        <is>
          <t>2</t>
        </is>
      </c>
      <c r="B18" s="3" t="inlineStr">
        <is>
          <t>ALL</t>
        </is>
      </c>
      <c r="C18" s="3" t="inlineStr">
        <is>
          <t>Electrician (Construction) — Red Seal (309A)</t>
        </is>
      </c>
      <c r="D18" s="3" t="inlineStr">
        <is>
          <t>ON=STO + ESA licence. BC=ITA + TSBC licence. AB=AIT (no separate annual licence). Others: [VERIFY_REQUIRED per province]</t>
        </is>
      </c>
      <c r="E18" s="3" t="inlineStr">
        <is>
          <t>Journeyperson certificate — no expiry on Red Seal. Annual provincial licence required in ON (ESA) and BC (TSBC). AB: AIT certificate only (no annual licence). Others: [VERIFY_REQUIRED]</t>
        </is>
      </c>
      <c r="F18" s="3" t="inlineStr">
        <is>
          <t>National (Red Seal — 309A portable via challenge exam). Provincial licence NOT portable (ON ESA / BC TSBC separate from Red Seal).</t>
        </is>
      </c>
      <c r="G18" s="3" t="inlineStr">
        <is>
          <t>L (compulsory designated trade in most provinces) — [VERIFY_REQUIRED per province]</t>
        </is>
      </c>
      <c r="H18" s="3" t="inlineStr">
        <is>
          <t>ON: electrical.ontario.ca (ESA — annual C of Q). BC: technicalsafetybc.ca (TSBC Journey Electrician licence). AB: tradesecrets.alberta.ca (AIT certificate lookup). SK: saskapprenticeship.ca/check-credentials/ (launched Apr 5 2026). NL: tradespersonregistry.gov.nl.ca (confirmed Jun 5 2025). MB: No public registry — email: apprenticeship@gov.mb.ca. NB: gnb.ca/en/topic/education-training/apprenticeship-trades/verify-tradesperson-certification.html. NS: No public open-access lookup — MyCreds + direct contact 902-424-5651. Others: [VERIFY_REQUIRED]</t>
        </is>
      </c>
      <c r="I18" s="3" t="inlineStr">
        <is>
          <t>Journeypersons and apprentices in electrical construction trade</t>
        </is>
      </c>
      <c r="J18" s="3" t="inlineStr">
        <is>
          <t>Separate from Industrial Electrician (442A). CFTA ON↔AB gas fitter reconciliation Nov 25 2025 — note for gas fitter trade. Verify electrician portability separately.</t>
        </is>
      </c>
    </row>
    <row r="19" ht="60" customHeight="1">
      <c r="A19" s="7" t="inlineStr">
        <is>
          <t>2</t>
        </is>
      </c>
      <c r="B19" s="3" t="inlineStr">
        <is>
          <t>ALL</t>
        </is>
      </c>
      <c r="C19" s="3" t="inlineStr">
        <is>
          <t>Plumber — Red Seal (306A)</t>
        </is>
      </c>
      <c r="D19" s="3" t="inlineStr">
        <is>
          <t>STO (ON) / ITA BC / AIT AB / [VERIFY_REQUIRED per province]</t>
        </is>
      </c>
      <c r="E19" s="3" t="inlineStr">
        <is>
          <t>Journeyperson certificate — no expiry. Annual licence in some provinces. [VERIFY_REQUIRED]</t>
        </is>
      </c>
      <c r="F19" s="3" t="inlineStr">
        <is>
          <t>National (Red Seal — 306A)</t>
        </is>
      </c>
      <c r="G19" s="3" t="inlineStr">
        <is>
          <t>L (compulsory designated trade in most provinces) — [VERIFY_REQUIRED]</t>
        </is>
      </c>
      <c r="H19" s="3" t="inlineStr">
        <is>
          <t>[VERIFY_REQUIRED — lookup URLs per province]</t>
        </is>
      </c>
      <c r="I19" s="3" t="inlineStr">
        <is>
          <t>Journeypersons and apprentices</t>
        </is>
      </c>
      <c r="J19" s="3" t="inlineStr">
        <is>
          <t>Includes pipefitting in some provinces. Separate from Steamfitter/Pipefitter (307A) in most provinces.</t>
        </is>
      </c>
    </row>
    <row r="20" ht="60" customHeight="1">
      <c r="A20" s="7" t="inlineStr">
        <is>
          <t>2</t>
        </is>
      </c>
      <c r="B20" s="3" t="inlineStr">
        <is>
          <t>ALL</t>
        </is>
      </c>
      <c r="C20" s="3" t="inlineStr">
        <is>
          <t>Steamfitter / Pipefitter — Red Seal (307A)</t>
        </is>
      </c>
      <c r="D20" s="3" t="inlineStr">
        <is>
          <t>STO (ON) / ITA BC / AIT AB / [VERIFY_REQUIRED per province]</t>
        </is>
      </c>
      <c r="E20" s="3" t="inlineStr">
        <is>
          <t>Journeyperson certificate — no expiry. [VERIFY_REQUIRED — annual licence per province]</t>
        </is>
      </c>
      <c r="F20" s="3" t="inlineStr">
        <is>
          <t>National (Red Seal — 307A)</t>
        </is>
      </c>
      <c r="G20" s="3" t="inlineStr">
        <is>
          <t>L (compulsory designated trade in most provinces) — [VERIFY_REQUIRED]</t>
        </is>
      </c>
      <c r="H20" s="3" t="inlineStr">
        <is>
          <t>[VERIFY_REQUIRED — lookup URLs per province]</t>
        </is>
      </c>
      <c r="I20" s="3" t="inlineStr">
        <is>
          <t>Journeypersons and apprentices</t>
        </is>
      </c>
      <c r="J20" s="3" t="inlineStr">
        <is>
          <t>Separate from Plumber in most provinces.</t>
        </is>
      </c>
    </row>
    <row r="21" ht="60" customHeight="1">
      <c r="A21" s="7" t="inlineStr">
        <is>
          <t>2</t>
        </is>
      </c>
      <c r="B21" s="3" t="inlineStr">
        <is>
          <t>ALL</t>
        </is>
      </c>
      <c r="C21" s="3" t="inlineStr">
        <is>
          <t>Welder — Red Seal (456A)</t>
        </is>
      </c>
      <c r="D21" s="3" t="inlineStr">
        <is>
          <t>STO (ON) / ITA BC / AIT AB / [VERIFY_REQUIRED per province]</t>
        </is>
      </c>
      <c r="E21" s="3" t="inlineStr">
        <is>
          <t>Red Seal certificate — no expiry. Site-specific weld procedure qualification may be required separately.</t>
        </is>
      </c>
      <c r="F21" s="3" t="inlineStr">
        <is>
          <t>National (Red Seal — 456A). Multiple process variants.</t>
        </is>
      </c>
      <c r="G21" s="3" t="inlineStr">
        <is>
          <t>L in most provinces — [VERIFY_REQUIRED compulsory status]</t>
        </is>
      </c>
      <c r="H21" s="3" t="inlineStr">
        <is>
          <t>[VERIFY_REQUIRED — lookup URLs per province]</t>
        </is>
      </c>
      <c r="I21" s="3" t="inlineStr">
        <is>
          <t>Journeypersons and apprentices</t>
        </is>
      </c>
      <c r="J21" s="3" t="inlineStr">
        <is>
          <t>Construction welding; structural steel. Multiple process variants (SMAW, GMAW, FCAW, GTAW, SAW).</t>
        </is>
      </c>
    </row>
    <row r="22" ht="60" customHeight="1">
      <c r="A22" s="7" t="inlineStr">
        <is>
          <t>2</t>
        </is>
      </c>
      <c r="B22" s="3" t="inlineStr">
        <is>
          <t>ALL</t>
        </is>
      </c>
      <c r="C22" s="3" t="inlineStr">
        <is>
          <t>Ironworker (Generalist) — Red Seal (420A) / Ironworker (Reinforcing) — Red Seal (420B)</t>
        </is>
      </c>
      <c r="D22" s="3" t="inlineStr">
        <is>
          <t>STO (ON) / ITA BC / AIT AB / [VERIFY_REQUIRED per province]</t>
        </is>
      </c>
      <c r="E22" s="3" t="inlineStr">
        <is>
          <t>Red Seal certificate — no expiry.</t>
        </is>
      </c>
      <c r="F22" s="3" t="inlineStr">
        <is>
          <t>National (Red Seal — 420A/420B)</t>
        </is>
      </c>
      <c r="G22" s="3" t="inlineStr">
        <is>
          <t>L/IS — [VERIFY_REQUIRED compulsory status per province]</t>
        </is>
      </c>
      <c r="H22" s="3" t="inlineStr">
        <is>
          <t>[VERIFY_REQUIRED — lookup URLs per province]</t>
        </is>
      </c>
      <c r="I22" s="3" t="inlineStr">
        <is>
          <t>Journeypersons and apprentices</t>
        </is>
      </c>
      <c r="J22" s="3" t="inlineStr">
        <is>
          <t>420A = structural steel. 420B = rebar/reinforcing. Confirm scope split per province.</t>
        </is>
      </c>
    </row>
    <row r="23" ht="60" customHeight="1">
      <c r="A23" s="7" t="inlineStr">
        <is>
          <t>2</t>
        </is>
      </c>
      <c r="B23" s="3" t="inlineStr">
        <is>
          <t>ALL</t>
        </is>
      </c>
      <c r="C23" s="3" t="inlineStr">
        <is>
          <t>Crane and Hoisting Equipment Operator — Red Seal (339A)</t>
        </is>
      </c>
      <c r="D23" s="3" t="inlineStr">
        <is>
          <t>AB=AIT Tradesecrets / BC=TSBC / ON=STO [VERIFY_REQUIRED]</t>
        </is>
      </c>
      <c r="E23" s="3" t="inlineStr">
        <is>
          <t>Red Seal certificate — no expiry. Site-specific operator competency assessment required additionally.</t>
        </is>
      </c>
      <c r="F23" s="3" t="inlineStr">
        <is>
          <t>National (Red Seal — 339A)</t>
        </is>
      </c>
      <c r="G23" s="3" t="inlineStr">
        <is>
          <t>L/IS — [VERIFY_REQUIRED compulsory status per province]</t>
        </is>
      </c>
      <c r="H23" s="3" t="inlineStr">
        <is>
          <t>[VERIFY_REQUIRED — lookup URLs per province]</t>
        </is>
      </c>
      <c r="I23" s="3" t="inlineStr">
        <is>
          <t>Crane operators on construction sites</t>
        </is>
      </c>
      <c r="J23" s="3" t="inlineStr">
        <is>
          <t>ON O. Reg. 241/23 / 242/23 (Jan 1 2024): New tower crane, mobile crane, and rigging requirements. AB OHS Code Part 6: crane competency requirements.</t>
        </is>
      </c>
    </row>
    <row r="24" ht="60" customHeight="1">
      <c r="A24" s="9" t="inlineStr">
        <is>
          <t>1</t>
        </is>
      </c>
      <c r="B24" s="3" t="inlineStr">
        <is>
          <t>ALL</t>
        </is>
      </c>
      <c r="C24" s="3" t="inlineStr">
        <is>
          <t>Gasfitter / Gas Fitter</t>
        </is>
      </c>
      <c r="D24" s="3" t="inlineStr">
        <is>
          <t>[VERIFY_REQUIRED — varies significantly by province; do NOT assume common issuing body]</t>
        </is>
      </c>
      <c r="E24" s="3" t="inlineStr">
        <is>
          <t>[VERIFY_REQUIRED per province]</t>
        </is>
      </c>
      <c r="F24" s="3" t="inlineStr">
        <is>
          <t>NOT nationally portable — province-specific licences</t>
        </is>
      </c>
      <c r="G24" s="3" t="inlineStr">
        <is>
          <t>L (in all provinces where gasfitting is regulated) — [VERIFY_REQUIRED each province]</t>
        </is>
      </c>
      <c r="H24" s="3" t="inlineStr">
        <is>
          <t>AB: tradesecrets.alberta.ca (AIT Gasfitter — no separate annual licence). ON: TSSA G1/G2/G3 annual licence. BC: TSBC Class A/B annual licence — NOT portable to AB without reciprocity. QC: Régie du bâtiment du Québec (RBQ) annual licence — NOT portable. CFTA Reconciliation Agreement Nov 25 2025: ON G1=AB Gas Fitter A; ON G2=AB Gas Fitter B — apply to AIT; no separate TSSA-ABSA MOU. [VERIFY_REQUIRED — remaining provinces]</t>
        </is>
      </c>
      <c r="I24" s="3" t="inlineStr">
        <is>
          <t>Journeypersons performing gas fitting work on construction sites</t>
        </is>
      </c>
      <c r="J24" s="3" t="inlineStr">
        <is>
          <t>Critical: from SKILL.md verified facts. ON G1/G2 portable to AB via CFTA Nov 25 2025. BC NOT portable without reciprocity. QC NOT portable.</t>
        </is>
      </c>
    </row>
    <row r="25" ht="60" customHeight="1">
      <c r="A25" s="7" t="inlineStr">
        <is>
          <t>2</t>
        </is>
      </c>
      <c r="B25" s="3" t="inlineStr">
        <is>
          <t>ALL</t>
        </is>
      </c>
      <c r="C25" s="3" t="inlineStr">
        <is>
          <t>Scaffold Erector / Inspector Training</t>
        </is>
      </c>
      <c r="D25" s="3" t="inlineStr">
        <is>
          <t>[VERIFY_REQUIRED — no national standard; varies by province]</t>
        </is>
      </c>
      <c r="E25" s="3" t="inlineStr">
        <is>
          <t>3 years recommended (no legislated renewal in most provinces)</t>
        </is>
      </c>
      <c r="F25" s="3" t="inlineStr">
        <is>
          <t>Not nationally standardized</t>
        </is>
      </c>
      <c r="G25" s="3" t="inlineStr">
        <is>
          <t>IS — OHS legislation requires competency for scaffold erection/inspection. AB OHS Code Part 23. BC OHS Reg Part 13. ON O. Reg. 213/91. Others: [VERIFY_REQUIRED]</t>
        </is>
      </c>
      <c r="H25" s="3" t="inlineStr">
        <is>
          <t>[VERIFY_REQUIRED — no nationally recognized training standard confirmed in research]</t>
        </is>
      </c>
      <c r="I25" s="3" t="inlineStr">
        <is>
          <t>Workers erecting, dismantling, altering, or inspecting scaffolds and temporary work platforms</t>
        </is>
      </c>
      <c r="J25" s="3" t="inlineStr">
        <is>
          <t>Priority Perplexity item: confirm whether nationally recognized training standard exists. CSA Z797 (construction hoarding) referenced in some jurisdictions.</t>
        </is>
      </c>
    </row>
    <row r="26" ht="60" customHeight="1">
      <c r="A26" s="7" t="inlineStr">
        <is>
          <t>2</t>
        </is>
      </c>
      <c r="B26" s="3" t="inlineStr">
        <is>
          <t>ALL</t>
        </is>
      </c>
      <c r="C26" s="3" t="inlineStr">
        <is>
          <t>Rigging and Lifting Training</t>
        </is>
      </c>
      <c r="D26" s="3" t="inlineStr">
        <is>
          <t>[VERIFY_REQUIRED — no national standard]</t>
        </is>
      </c>
      <c r="E26" s="3" t="inlineStr">
        <is>
          <t>3 years recommended</t>
        </is>
      </c>
      <c r="F26" s="3" t="inlineStr">
        <is>
          <t>Not nationally standardized; CSA Z150 crane standards referenced</t>
        </is>
      </c>
      <c r="G26" s="3" t="inlineStr">
        <is>
          <t>IS</t>
        </is>
      </c>
      <c r="H26" s="3" t="inlineStr">
        <is>
          <t>[VERIFY_REQUIRED]</t>
        </is>
      </c>
      <c r="I26" s="3" t="inlineStr">
        <is>
          <t>Riggers on construction sites</t>
        </is>
      </c>
      <c r="J26" s="3" t="inlineStr">
        <is>
          <t>ON: O. Reg. 241/23 / 242/23 added rigging requirements (Jan 1 2024). AB: OHS Code Part 6.</t>
        </is>
      </c>
    </row>
    <row r="27" ht="60" customHeight="1">
      <c r="A27" s="7" t="inlineStr">
        <is>
          <t>2</t>
        </is>
      </c>
      <c r="B27" s="3" t="inlineStr">
        <is>
          <t>ALL</t>
        </is>
      </c>
      <c r="C27" s="3" t="inlineStr">
        <is>
          <t>Trenching and Excavation Safety</t>
        </is>
      </c>
      <c r="D27" s="3" t="inlineStr">
        <is>
          <t>[VERIFY_REQUIRED per province]</t>
        </is>
      </c>
      <c r="E27" s="3" t="inlineStr">
        <is>
          <t>3 years recommended</t>
        </is>
      </c>
      <c r="F27" s="3" t="inlineStr">
        <is>
          <t>Not nationally standardized</t>
        </is>
      </c>
      <c r="G27" s="3" t="inlineStr">
        <is>
          <t>IS (OHS legislation requires competency — AB OHS Code Part 32; ON O. Reg. 213/91 s.228+; MB WSH Reg Part 26)</t>
        </is>
      </c>
      <c r="H27" s="3" t="inlineStr">
        <is>
          <t>[VERIFY_REQUIRED]</t>
        </is>
      </c>
      <c r="I27" s="3" t="inlineStr">
        <is>
          <t>Workers and supervisors involved in excavation and trenching operations</t>
        </is>
      </c>
      <c r="J27" s="3" t="inlineStr">
        <is>
          <t>AB Part 32 confirmed from Phase 1 research. ON O. Reg. 213/91 confirmed. MB Part 26 confirmed.</t>
        </is>
      </c>
    </row>
  </sheetData>
  <mergeCells count="1">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
  <sheetViews>
    <sheetView showGridLines="0" workbookViewId="0">
      <pane ySplit="2" topLeftCell="A3" activePane="bottomLeft" state="frozen"/>
      <selection pane="bottomLeft" activeCell="A1" sqref="A1"/>
    </sheetView>
  </sheetViews>
  <sheetFormatPr baseColWidth="8" defaultRowHeight="15"/>
  <cols>
    <col width="6" customWidth="1" min="1" max="1"/>
    <col width="35" customWidth="1" min="2" max="2"/>
    <col width="20" customWidth="1" min="3" max="3"/>
    <col width="25" customWidth="1" min="4" max="4"/>
    <col width="55" customWidth="1" min="5" max="5"/>
    <col width="20" customWidth="1" min="6" max="6"/>
    <col width="55" customWidth="1" min="7" max="7"/>
    <col width="12" customWidth="1" min="8" max="8"/>
  </cols>
  <sheetData>
    <row r="1" ht="30" customHeight="1">
      <c r="A1" s="17" t="inlineStr">
        <is>
          <t>SECTION C — FEDERAL OVERLAY | Construction Industry | Supplements or overrides provincial OHS where applicable</t>
        </is>
      </c>
    </row>
    <row r="2" ht="22" customHeight="1">
      <c r="A2" s="4" t="inlineStr">
        <is>
          <t>Conf</t>
        </is>
      </c>
      <c r="B2" s="4" t="inlineStr">
        <is>
          <t>Federal Instrument</t>
        </is>
      </c>
      <c r="C2" s="4" t="inlineStr">
        <is>
          <t>Citation</t>
        </is>
      </c>
      <c r="D2" s="4" t="inlineStr">
        <is>
          <t>Status</t>
        </is>
      </c>
      <c r="E2" s="4" t="inlineStr">
        <is>
          <t>Applicability to Construction</t>
        </is>
      </c>
      <c r="F2" s="4" t="inlineStr">
        <is>
          <t>Last Amended</t>
        </is>
      </c>
      <c r="G2" s="4" t="inlineStr">
        <is>
          <t>Notes / URL</t>
        </is>
      </c>
      <c r="H2" s="4" t="inlineStr">
        <is>
          <t>Province Trigger</t>
        </is>
      </c>
    </row>
    <row r="3" ht="65" customHeight="1">
      <c r="A3" s="5" t="inlineStr">
        <is>
          <t>3</t>
        </is>
      </c>
      <c r="B3" s="3" t="inlineStr">
        <is>
          <t>Canada Labour Code Part II + Canada OHS Regulations</t>
        </is>
      </c>
      <c r="C3" s="3" t="inlineStr">
        <is>
          <t>CLC Part II; SOR/86-304</t>
        </is>
      </c>
      <c r="D3" s="3" t="inlineStr">
        <is>
          <t>In force — SOR/86-304 last amended SOR/2025-79 (Mar 26 2025)</t>
        </is>
      </c>
      <c r="E3" s="3" t="inlineStr">
        <is>
          <t>Applies to construction on federally owned/controlled property: Crown buildings, DND property, federal airports, federal bridges, interprovincial undertakings. Provincial OHS applies elsewhere.</t>
        </is>
      </c>
      <c r="F3" s="3" t="inlineStr">
        <is>
          <t>SOR/2025-79 (Mar 26 2025)</t>
        </is>
      </c>
      <c r="G3" s="3" t="inlineStr">
        <is>
          <t>laws-lois.justice.gc.ca/eng/regulations/sor-86-304/index.html | Silica OEL (federal): SOR/86-304 applies; proposed amendments Oct 2023 Canada Gazette Part I do NOT include new silica-specific construction requirements (confirmed May 2026). [Conf 3]</t>
        </is>
      </c>
      <c r="H3" s="3" t="inlineStr">
        <is>
          <t>ALL (federal property only)</t>
        </is>
      </c>
    </row>
    <row r="4" ht="65" customHeight="1">
      <c r="A4" s="5" t="inlineStr">
        <is>
          <t>3</t>
        </is>
      </c>
      <c r="B4" s="3" t="inlineStr">
        <is>
          <t>National Building Code (NBC) 2020</t>
        </is>
      </c>
      <c r="C4" s="3" t="inlineStr">
        <is>
          <t>NBC 2020 (NRC publication); provincial adoption via enabling legislation</t>
        </is>
      </c>
      <c r="D4" s="3" t="inlineStr">
        <is>
          <t>Adopted by all provinces/territories EXCEPT Nunavut (still NBC 2015 — TBC). See Section A NBC table for enforcement dates.</t>
        </is>
      </c>
      <c r="E4" s="3" t="inlineStr">
        <is>
          <t>Minimum construction standards. Adopted with provincial variations. All 13 jurisdictions have adopted or are enforcing NBC 2020 as of May 2026 except Nunavut.</t>
        </is>
      </c>
      <c r="F4" s="3" t="inlineStr">
        <is>
          <t>Last NBC edition: 2020. All major provinces adopted 2022–2025.</t>
        </is>
      </c>
      <c r="G4" s="3" t="inlineStr">
        <is>
          <t>cbhcc-cchcc.ca/en/provincial-territorial-adoption/ [Conf 3]</t>
        </is>
      </c>
      <c r="H4" s="3" t="inlineStr">
        <is>
          <t>ALL</t>
        </is>
      </c>
    </row>
    <row r="5" ht="65" customHeight="1">
      <c r="A5" s="5" t="inlineStr">
        <is>
          <t>3</t>
        </is>
      </c>
      <c r="B5" s="3" t="inlineStr">
        <is>
          <t>TDG Regulations</t>
        </is>
      </c>
      <c r="C5" s="3" t="inlineStr">
        <is>
          <t>SOR/2001-286 (last amended Oct 25 2024 — SOR/2023-206 Phase 2 site registration)</t>
        </is>
      </c>
      <c r="D5" s="3" t="inlineStr">
        <is>
          <t>In force</t>
        </is>
      </c>
      <c r="E5" s="3" t="inlineStr">
        <is>
          <t>Applies wherever dangerous goods are transported or present on construction sites. Relevant UN classes for construction: Class 2 (compressed gases), Class 3 (flammable liquids/fuels), Class 8 (corrosives), Class 9 (misc). Confirm per client site.</t>
        </is>
      </c>
      <c r="F5" s="3" t="inlineStr">
        <is>
          <t>Oct 25 2024 (Phase 2 site registration)</t>
        </is>
      </c>
      <c r="G5" s="3" t="inlineStr">
        <is>
          <t>tc.gc.ca/en/services/transportation/dangerous-goods.html</t>
        </is>
      </c>
      <c r="H5" s="3" t="inlineStr">
        <is>
          <t>ALL</t>
        </is>
      </c>
    </row>
    <row r="6" ht="65" customHeight="1">
      <c r="A6" s="5" t="inlineStr">
        <is>
          <t>3</t>
        </is>
      </c>
      <c r="B6" s="3" t="inlineStr">
        <is>
          <t>WHMIS (Hazardous Products Act / Hazardous Products Regulations)</t>
        </is>
      </c>
      <c r="C6" s="3" t="inlineStr">
        <is>
          <t>HPA + HPR; SOR/88-66 (HPR amended Dec 15 2022 — GHS Rev 7/8; transition ended Dec 14 2025)</t>
        </is>
      </c>
      <c r="D6" s="3" t="inlineStr">
        <is>
          <t>In force — 'WHMIS 2015' name retired post Dec 14 2025</t>
        </is>
      </c>
      <c r="E6" s="3" t="inlineStr">
        <is>
          <t>Universal — applies to all workplaces handling hazardous products. Training obligation on employers; product labelling and SDS obligation on suppliers.</t>
        </is>
      </c>
      <c r="F6" s="3" t="inlineStr">
        <is>
          <t>Dec 14 2025 (transition end — GHS Rev 7/8 mandatory)</t>
        </is>
      </c>
      <c r="G6" s="3" t="inlineStr">
        <is>
          <t>whmis.org | canada.ca WHMIS resources</t>
        </is>
      </c>
      <c r="H6" s="3" t="inlineStr">
        <is>
          <t>ALL</t>
        </is>
      </c>
    </row>
    <row r="7" ht="65" customHeight="1">
      <c r="A7" s="7" t="inlineStr">
        <is>
          <t>2</t>
        </is>
      </c>
      <c r="B7" s="3" t="inlineStr">
        <is>
          <t>Fisheries Act (s.35 — harmful alteration, disruption or destruction — HADD)</t>
        </is>
      </c>
      <c r="C7" s="3" t="inlineStr">
        <is>
          <t>RSC 1985, c. F-14</t>
        </is>
      </c>
      <c r="D7" s="3" t="inlineStr">
        <is>
          <t>In force</t>
        </is>
      </c>
      <c r="E7" s="3" t="inlineStr">
        <is>
          <t>Relevant for construction near watercourses, wetlands, or fish habitat. Prohibition on HADD of fish habitat without authorization. Applies to excavation, dewatering, culverts, bridge construction near water.</t>
        </is>
      </c>
      <c r="F7" s="3" t="inlineStr">
        <is>
          <t>[VERIFY_REQUIRED — confirm recent amendments]</t>
        </is>
      </c>
      <c r="G7" s="3" t="inlineStr">
        <is>
          <t>dfo-mpo.gc.ca/pnw-ppe/index-eng.html</t>
        </is>
      </c>
      <c r="H7" s="3" t="inlineStr">
        <is>
          <t>ALL (near water)</t>
        </is>
      </c>
    </row>
    <row r="8" ht="65" customHeight="1">
      <c r="A8" s="7" t="inlineStr">
        <is>
          <t>2</t>
        </is>
      </c>
      <c r="B8" s="3" t="inlineStr">
        <is>
          <t>Impact Assessment Act (IAA) / SCC 2023 ruling</t>
        </is>
      </c>
      <c r="C8" s="3" t="inlineStr">
        <is>
          <t>SC 2019, c. 28, s. 1; SCC 2023 SCC 23 (Oct 13 2023 — designated projects scheme largely unconstitutional)</t>
        </is>
      </c>
      <c r="D8" s="3" t="inlineStr">
        <is>
          <t>In force with constitutional constraints — designated project scheme requires review</t>
        </is>
      </c>
      <c r="E8" s="3" t="inlineStr">
        <is>
          <t>Relevant for large-scale construction projects on federal works/undertakings. SCC Oct 13 2023 ruling limits federal jurisdiction — confirm applicability per project.</t>
        </is>
      </c>
      <c r="F8" s="3" t="inlineStr">
        <is>
          <t>SCC ruling Oct 13 2023</t>
        </is>
      </c>
      <c r="G8" s="3" t="inlineStr">
        <is>
          <t>iaac-aeic.gc.ca</t>
        </is>
      </c>
      <c r="H8" s="3" t="inlineStr">
        <is>
          <t>ALL (large projects on federal works)</t>
        </is>
      </c>
    </row>
    <row r="9" ht="65" customHeight="1">
      <c r="A9" s="5" t="inlineStr">
        <is>
          <t>3</t>
        </is>
      </c>
      <c r="B9" s="3" t="inlineStr">
        <is>
          <t>Duty to Consult / UNDRIP / Kebaowek 2025</t>
        </is>
      </c>
      <c r="C9" s="3" t="inlineStr">
        <is>
          <t>Canadian Constitution s.35; UNDRIP (Bill C-15, in force Jun 21 2021); Kebaowek 2025</t>
        </is>
      </c>
      <c r="D9" s="3" t="inlineStr">
        <is>
          <t>In force and evolving</t>
        </is>
      </c>
      <c r="E9" s="3" t="inlineStr">
        <is>
          <t>Applies to all construction projects on or near Indigenous territories or affecting Indigenous rights. Increasing relevance post-Kebaowek 2025. Legal review required per project.</t>
        </is>
      </c>
      <c r="F9" s="3" t="inlineStr">
        <is>
          <t>Kebaowek 2025 (confirmed per SKILL.md)</t>
        </is>
      </c>
      <c r="G9" s="3" t="inlineStr">
        <is>
          <t>[VERIFY_REQUIRED — specific Kebaowek 2025 citation for client file]</t>
        </is>
      </c>
      <c r="H9" s="3" t="inlineStr">
        <is>
          <t>ALL (near Indigenous territories)</t>
        </is>
      </c>
    </row>
    <row r="10" ht="65" customHeight="1">
      <c r="A10" s="7" t="inlineStr">
        <is>
          <t>2</t>
        </is>
      </c>
      <c r="B10" s="3" t="inlineStr">
        <is>
          <t>Bill C-59 — Greenwashing (Competition Act amendments)</t>
        </is>
      </c>
      <c r="C10" s="3" t="inlineStr">
        <is>
          <t>SC 2024, c. 15 (Royal Assent Jun 20 2024; private right of action Jun 20 2025; Final Guidelines Jun 5 2025)</t>
        </is>
      </c>
      <c r="D10" s="3" t="inlineStr">
        <is>
          <t>In force</t>
        </is>
      </c>
      <c r="E10" s="3" t="inlineStr">
        <is>
          <t>Relevant to all industries making environmental claims in marketing. Construction companies making sustainability/environmental claims must have substantiated evidence.</t>
        </is>
      </c>
      <c r="F10" s="3" t="inlineStr">
        <is>
          <t>Final Guidelines Jun 5 2025; private right of action Jun 20 2025</t>
        </is>
      </c>
      <c r="G10" s="3" t="inlineStr">
        <is>
          <t>ised.canada.ca (Competition Bureau guidelines)</t>
        </is>
      </c>
      <c r="H10" s="3" t="inlineStr">
        <is>
          <t>ALL</t>
        </is>
      </c>
    </row>
    <row r="11" ht="65" customHeight="1">
      <c r="A11" s="5" t="inlineStr">
        <is>
          <t>3</t>
        </is>
      </c>
      <c r="B11" s="3" t="inlineStr">
        <is>
          <t>Canada Occupational Health and Safety Regulations — Silica OEL (Federal)</t>
        </is>
      </c>
      <c r="C11" s="3" t="inlineStr">
        <is>
          <t>SOR/86-304</t>
        </is>
      </c>
      <c r="D11" s="3" t="inlineStr">
        <is>
          <t>In force — no new silica-specific construction amendments enacted as of May 2026</t>
        </is>
      </c>
      <c r="E11" s="3" t="inlineStr">
        <is>
          <t>Federal OEL for silica applies to federally regulated workplaces only (banking, telecoms, interprovincial transport). NOT applicable to provincial construction projects. Oct 2023 proposed amendments (Canada Gazette Part I) do NOT include new silica-specific construction requirements. Provincial OELs govern construction. ON OEL: quartz 0.10 mg/m³; cristobalite 0.05 mg/m³ (O. Reg. 490/09). Verify per-province OELs from their OHS Code chemical hazard schedules.</t>
        </is>
      </c>
      <c r="F11" s="3" t="inlineStr">
        <is>
          <t>SOR/2025-79 (Mar 26 2025 — general update, no silica-specific construction changes)</t>
        </is>
      </c>
      <c r="G11" s="3" t="inlineStr">
        <is>
          <t>laws-lois.justice.gc.ca/eng/regulations/sor-86-304/index.html | gazette.gc.ca/rp-pr/p1/2023/2023-10-28/html/reg1-eng.html (Oct 2023 proposed amendments)</t>
        </is>
      </c>
      <c r="H11" s="3" t="inlineStr">
        <is>
          <t>Federal workplaces only</t>
        </is>
      </c>
    </row>
    <row r="12" ht="65" customHeight="1">
      <c r="A12" s="7" t="inlineStr">
        <is>
          <t>2</t>
        </is>
      </c>
      <c r="B12" s="3" t="inlineStr">
        <is>
          <t>Species at Risk Act (SARA)</t>
        </is>
      </c>
      <c r="C12" s="3" t="inlineStr">
        <is>
          <t>SC 2002, c. 29</t>
        </is>
      </c>
      <c r="D12" s="3" t="inlineStr">
        <is>
          <t>In force</t>
        </is>
      </c>
      <c r="E12" s="3" t="inlineStr">
        <is>
          <t>Relevant for construction near habitat of listed species. Prohibits harm to individuals or residences of listed species. Environmental assessment trigger for larger construction projects.</t>
        </is>
      </c>
      <c r="F12" s="3" t="inlineStr">
        <is>
          <t>[VERIFY_REQUIRED — confirm recent listing changes relevant to AB/BC/SK construction sectors]</t>
        </is>
      </c>
      <c r="G12" s="3" t="inlineStr">
        <is>
          <t>canada.ca/en/environment-climate-change/services/species-risk-act</t>
        </is>
      </c>
      <c r="H12" s="3" t="inlineStr">
        <is>
          <t>ALL (near critical habitat)</t>
        </is>
      </c>
    </row>
    <row r="13" ht="65" customHeight="1">
      <c r="A13" s="7" t="inlineStr">
        <is>
          <t>2</t>
        </is>
      </c>
      <c r="B13" s="3" t="inlineStr">
        <is>
          <t>Canadian Environmental Protection Act (CEPA) / Bill S-5</t>
        </is>
      </c>
      <c r="C13" s="3" t="inlineStr">
        <is>
          <t>CEPA 1999; Bill S-5 (Strengthening Environmental Protection for a Healthier Canada Act) amendments</t>
        </is>
      </c>
      <c r="D13" s="3" t="inlineStr">
        <is>
          <t>In force — Bill S-5 received Royal Assent Jun 13 2023</t>
        </is>
      </c>
      <c r="E13" s="3" t="inlineStr">
        <is>
          <t>Relevant for industrial construction with toxic substance exposure. Adds right to a healthy environment to CEPA. Enhanced toxic substance assessment.</t>
        </is>
      </c>
      <c r="F13" s="3" t="inlineStr">
        <is>
          <t>Jun 13 2023 (Bill S-5)</t>
        </is>
      </c>
      <c r="G13" s="3" t="inlineStr">
        <is>
          <t>canada.ca/en/environment-climate-change/services/canadian-environmental-protection-act-registry</t>
        </is>
      </c>
      <c r="H13" s="3" t="inlineStr">
        <is>
          <t>ALL (industrial construction with toxic substance use)</t>
        </is>
      </c>
    </row>
  </sheetData>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3"/>
  <sheetViews>
    <sheetView showGridLines="0" workbookViewId="0">
      <pane ySplit="2" topLeftCell="A3" activePane="bottomLeft" state="frozen"/>
      <selection pane="bottomLeft" activeCell="A1" sqref="A1"/>
    </sheetView>
  </sheetViews>
  <sheetFormatPr baseColWidth="8" defaultRowHeight="15"/>
  <cols>
    <col width="8" customWidth="1" min="1" max="1"/>
    <col width="10" customWidth="1" min="2" max="2"/>
    <col width="20" customWidth="1" min="3" max="3"/>
    <col width="50" customWidth="1" min="4" max="4"/>
    <col width="15" customWidth="1" min="5" max="5"/>
    <col width="20" customWidth="1" min="6" max="6"/>
    <col width="15" customWidth="1" min="7" max="7"/>
    <col width="40" customWidth="1" min="8" max="8"/>
    <col width="12" customWidth="1" min="9" max="9"/>
  </cols>
  <sheetData>
    <row r="1" ht="30" customHeight="1">
      <c r="A1" s="17" t="inlineStr">
        <is>
          <t>SHEET D — VERIFY REQUIRED TRACKER | Construction Industry | Seeded from Phase 1 Research 2026-05-25</t>
        </is>
      </c>
    </row>
    <row r="2" ht="22" customHeight="1">
      <c r="A2" s="4" t="inlineStr">
        <is>
          <t>Item #</t>
        </is>
      </c>
      <c r="B2" s="4" t="inlineStr">
        <is>
          <t>Province</t>
        </is>
      </c>
      <c r="C2" s="4" t="inlineStr">
        <is>
          <t>Category</t>
        </is>
      </c>
      <c r="D2" s="4" t="inlineStr">
        <is>
          <t>VERIFY_REQUIRED Item Description</t>
        </is>
      </c>
      <c r="E2" s="4" t="inlineStr">
        <is>
          <t>Priority</t>
        </is>
      </c>
      <c r="F2" s="4" t="inlineStr">
        <is>
          <t>Status</t>
        </is>
      </c>
      <c r="G2" s="4" t="inlineStr">
        <is>
          <t>Assigned To</t>
        </is>
      </c>
      <c r="H2" s="4" t="inlineStr">
        <is>
          <t>Resolution / Notes</t>
        </is>
      </c>
      <c r="I2" s="4" t="inlineStr">
        <is>
          <t>Confidence After</t>
        </is>
      </c>
    </row>
    <row r="3" ht="55" customHeight="1">
      <c r="A3" s="5" t="inlineStr">
        <is>
          <t>D-001</t>
        </is>
      </c>
      <c r="B3" s="3" t="inlineStr">
        <is>
          <t>BC</t>
        </is>
      </c>
      <c r="C3" s="3" t="inlineStr">
        <is>
          <t>Regulatory — Part Number</t>
        </is>
      </c>
      <c r="D3" s="3" t="inlineStr">
        <is>
          <t>MATRIX_INSTRUCTIONS_CONSTRUCTION.md referenced 'Part 18 (Construction)' for BC OHS Regulation. Research confirmed Part 18 = Traffic Control. Primary construction Part = Part 20 — Construction, Excavation and Demolition.</t>
        </is>
      </c>
      <c r="E3" s="3" t="inlineStr">
        <is>
          <t>P1 — Critical</t>
        </is>
      </c>
      <c r="F3" s="5" t="inlineStr">
        <is>
          <t>CORRECTION APPLIED</t>
        </is>
      </c>
      <c r="G3" s="3" t="inlineStr">
        <is>
          <t>Phase 1 Research</t>
        </is>
      </c>
      <c r="H3" s="3" t="inlineStr">
        <is>
          <t>⚠ CORRECTION applied in Section A. BC construction Part = Part 20 (confirmed from official WorkSafeBC searchable OHS Regulation). Source: WorkSafeBC Part 20 URL + Part 18 URL comparison. [Conf 3]</t>
        </is>
      </c>
      <c r="I3" s="3" t="inlineStr">
        <is>
          <t>3</t>
        </is>
      </c>
    </row>
    <row r="4" ht="55" customHeight="1">
      <c r="A4" s="5" t="inlineStr">
        <is>
          <t>D-002</t>
        </is>
      </c>
      <c r="B4" s="3" t="inlineStr">
        <is>
          <t>AB</t>
        </is>
      </c>
      <c r="C4" s="3" t="inlineStr">
        <is>
          <t>Regulatory — Part Numbers</t>
        </is>
      </c>
      <c r="D4" s="3" t="inlineStr">
        <is>
          <t>MATRIX_INSTRUCTIONS_CONSTRUCTION.md referenced 'Part 7 (Scaffolds)' and 'Part 8 (Cranes)' for Alberta OHS Code. Research confirmed these are pre-2021 numbering. Current: Part 23 = Scaffolds; Part 6 = Cranes; Part 7 = Emergency Preparedness.</t>
        </is>
      </c>
      <c r="E4" s="3" t="inlineStr">
        <is>
          <t>P1 — Critical</t>
        </is>
      </c>
      <c r="F4" s="5" t="inlineStr">
        <is>
          <t>CORRECTION APPLIED</t>
        </is>
      </c>
      <c r="G4" s="3" t="inlineStr">
        <is>
          <t>Phase 1 Research</t>
        </is>
      </c>
      <c r="H4" s="3" t="inlineStr">
        <is>
          <t>⚠ CORRECTION applied in Section A and B. Current AB OHS Code (Alta. Reg. 191/2021) Part numbering confirmed. Part 7 Scaffolds / Part 8 Cranes = PRE-2021 only. Source: OHS Code portal + SKILL.md Q3 confirmation. [Conf 3]</t>
        </is>
      </c>
      <c r="I4" s="3" t="inlineStr">
        <is>
          <t>3</t>
        </is>
      </c>
    </row>
    <row r="5" ht="55" customHeight="1">
      <c r="A5" s="5" t="inlineStr">
        <is>
          <t>D-003</t>
        </is>
      </c>
      <c r="B5" s="3" t="inlineStr">
        <is>
          <t>ON</t>
        </is>
      </c>
      <c r="C5" s="3" t="inlineStr">
        <is>
          <t>Regulatory — O. Reg. 213/91 Status</t>
        </is>
      </c>
      <c r="D5" s="3" t="inlineStr">
        <is>
          <t>Confirm O. Reg. 213/91 is in force and consolidated post-January 1 2025 amendment. Confirm last amendment and URL.</t>
        </is>
      </c>
      <c r="E5" s="3" t="inlineStr">
        <is>
          <t>P1 — Critical</t>
        </is>
      </c>
      <c r="F5" s="5" t="inlineStr">
        <is>
          <t>CLOSED</t>
        </is>
      </c>
      <c r="G5" s="3" t="inlineStr">
        <is>
          <t>Phase 1 Research</t>
        </is>
      </c>
      <c r="H5" s="3" t="inlineStr">
        <is>
          <t>CONFIRMED IN FORCE. Current consolidation April 20 2026. Last amendment O. Reg. 116/26. Jan 1 2025 amendments: O. Reg. 105/25 (AED ≥20 workers ≥3mo + washroom recordkeeping 6mo). O. Reg. 157/25 adds s.27.1 (AEDs — effective Jan 1 2026). O. Reg. 112/26 (Type 2 hard hat Jul 1 2027). URL: ontario.ca/laws/regulation/910213. [Conf 3]</t>
        </is>
      </c>
      <c r="I5" s="3" t="inlineStr">
        <is>
          <t>3</t>
        </is>
      </c>
    </row>
    <row r="6" ht="55" customHeight="1">
      <c r="A6" s="5" t="inlineStr">
        <is>
          <t>D-004</t>
        </is>
      </c>
      <c r="B6" s="3" t="inlineStr">
        <is>
          <t>QC</t>
        </is>
      </c>
      <c r="C6" s="3" t="inlineStr">
        <is>
          <t>Regulatory — S-2.1 r.4 Status + CCQ vs CNESST</t>
        </is>
      </c>
      <c r="D6" s="3" t="inlineStr">
        <is>
          <t>Confirm Safety Code S-2.1, r.4 status. Clarify CCQ vs CNESST dual authority roles on construction sites.</t>
        </is>
      </c>
      <c r="E6" s="3" t="inlineStr">
        <is>
          <t>P1 — Critical</t>
        </is>
      </c>
      <c r="F6" s="5" t="inlineStr">
        <is>
          <t>CLOSED</t>
        </is>
      </c>
      <c r="G6" s="3" t="inlineStr">
        <is>
          <t>Phase 1 Research</t>
        </is>
      </c>
      <c r="H6" s="3" t="inlineStr">
        <is>
          <t>CONFIRMED. S-2.1, r.4 in force; amended Apr 2024 (worker rescue). CCQ = labour/workforce (Act R-20); CNESST = OHS enforcement (LSST S-2.1). Both active simultaneously, separate mandates. Oct 1 2025: Bill 59 mandatory prevention programs. URL: legisquebec.gouv.qc.ca/en/document/cr/S-2.1,%20r.4. [Conf 3]</t>
        </is>
      </c>
      <c r="I6" s="3" t="inlineStr">
        <is>
          <t>3</t>
        </is>
      </c>
    </row>
    <row r="7" ht="55" customHeight="1">
      <c r="A7" s="5" t="inlineStr">
        <is>
          <t>D-005</t>
        </is>
      </c>
      <c r="B7" s="3" t="inlineStr">
        <is>
          <t>ALL</t>
        </is>
      </c>
      <c r="C7" s="3" t="inlineStr">
        <is>
          <t>NBC Adoption Status</t>
        </is>
      </c>
      <c r="D7" s="3" t="inlineStr">
        <is>
          <t>Confirm NBC 2020 adoption status per jurisdiction — confirm which jurisdictions are still on earlier edition.</t>
        </is>
      </c>
      <c r="E7" s="3" t="inlineStr">
        <is>
          <t>P1 — High</t>
        </is>
      </c>
      <c r="F7" s="5" t="inlineStr">
        <is>
          <t>CLOSED</t>
        </is>
      </c>
      <c r="G7" s="3" t="inlineStr">
        <is>
          <t>Phase 1 Research</t>
        </is>
      </c>
      <c r="H7" s="3" t="inlineStr">
        <is>
          <t>CONFIRMED from CBHCC official adoption table. All jurisdictions on NBC 2020 EXCEPT Nunavut (still NBC 2015; 2020 TBC). Enforcement dates confirmed per province — see Section A NBC table. Source: cbhcc-cchcc.ca/en/provincial-territorial-adoption/ [Conf 3]</t>
        </is>
      </c>
      <c r="I7" s="3" t="inlineStr">
        <is>
          <t>3</t>
        </is>
      </c>
    </row>
    <row r="8" ht="55" customHeight="1">
      <c r="A8" s="5" t="inlineStr">
        <is>
          <t>D-006</t>
        </is>
      </c>
      <c r="B8" s="3" t="inlineStr">
        <is>
          <t>ON</t>
        </is>
      </c>
      <c r="C8" s="3" t="inlineStr">
        <is>
          <t>Credential — WAH Training 3-Year Renewal</t>
        </is>
      </c>
      <c r="D8" s="3" t="inlineStr">
        <is>
          <t>Is Ontario Working at Heights 3-year renewal period still current post-2024 CPO standards update?</t>
        </is>
      </c>
      <c r="E8" s="3" t="inlineStr">
        <is>
          <t>P1 — High</t>
        </is>
      </c>
      <c r="F8" s="5" t="inlineStr">
        <is>
          <t>CLOSED</t>
        </is>
      </c>
      <c r="G8" s="3" t="inlineStr">
        <is>
          <t>Phase 1 Research</t>
        </is>
      </c>
      <c r="H8" s="3" t="inlineStr">
        <is>
          <t>CONFIRMED. 3-year validity confirmed current as of MLITSD page updated Apr 21 2026. Updated program and provider standards effective Apr 1 2024 (not the renewal period — the training content/standards). CPO-approved providers list: ontario.ca/page/training-working-heights. [Conf 3]</t>
        </is>
      </c>
      <c r="I8" s="3" t="inlineStr">
        <is>
          <t>3</t>
        </is>
      </c>
    </row>
    <row r="9" ht="55" customHeight="1">
      <c r="A9" s="5" t="inlineStr">
        <is>
          <t>D-007</t>
        </is>
      </c>
      <c r="B9" s="3" t="inlineStr">
        <is>
          <t>AB</t>
        </is>
      </c>
      <c r="C9" s="3" t="inlineStr">
        <is>
          <t>Regulatory — Asbestos Type Classification</t>
        </is>
      </c>
      <c r="D9" s="3" t="inlineStr">
        <is>
          <t>Confirm whether Alberta uses Type 1/2/3 classification like Ontario for asbestos work.</t>
        </is>
      </c>
      <c r="E9" s="3" t="inlineStr">
        <is>
          <t>P1 — High</t>
        </is>
      </c>
      <c r="F9" s="5" t="inlineStr">
        <is>
          <t>CLOSED</t>
        </is>
      </c>
      <c r="G9" s="3" t="inlineStr">
        <is>
          <t>Phase 1 Research</t>
        </is>
      </c>
      <c r="H9" s="3" t="inlineStr">
        <is>
          <t>CONFIRMED: AB does NOT use Type 1/2/3 classification. AB uses risk level / restricted area designation under OHS Code Part 4. Threshold: 'any detectable' (most stringent). 72-hour advance notification to Alberta OHS required. Alberta Asbestos Abatement Manual updated Mar 2026. [Conf 2 — contractor licensing requirement separate from worker training not confirmed]</t>
        </is>
      </c>
      <c r="I9" s="3" t="inlineStr">
        <is>
          <t>2</t>
        </is>
      </c>
    </row>
    <row r="10" ht="55" customHeight="1">
      <c r="A10" s="5" t="inlineStr">
        <is>
          <t>D-008</t>
        </is>
      </c>
      <c r="B10" s="3" t="inlineStr">
        <is>
          <t>BC</t>
        </is>
      </c>
      <c r="C10" s="3" t="inlineStr">
        <is>
          <t>Credential — Asbestos Abatement Licensing Jan 2024</t>
        </is>
      </c>
      <c r="D10" s="3" t="inlineStr">
        <is>
          <t>Confirm BC asbestos abatement worker certification and employer licensing requirements in force Jan 1 2024.</t>
        </is>
      </c>
      <c r="E10" s="3" t="inlineStr">
        <is>
          <t>P1 — High</t>
        </is>
      </c>
      <c r="F10" s="5" t="inlineStr">
        <is>
          <t>CLOSED</t>
        </is>
      </c>
      <c r="G10" s="3" t="inlineStr">
        <is>
          <t>Phase 1 Research</t>
        </is>
      </c>
      <c r="H10" s="3" t="inlineStr">
        <is>
          <t>CONFIRMED. Jan 1 2024: Worker certification via WorkSafeBC-approved provider required. Employer Asbestos Abatement Licence (AAL) via WorkSafeBC required (annual renewal). Worker cert: 3 years. BC is first province in Canada with formal contractor licensing. BC threshold: 0.5% by dry weight (general); any detectable for vermiculite. URL: worksafebc.com/en/health-safety/education-training-certification/asbestos-training-certification-licensing. [Conf 3]</t>
        </is>
      </c>
      <c r="I10" s="3" t="inlineStr">
        <is>
          <t>3</t>
        </is>
      </c>
    </row>
    <row r="11" ht="55" customHeight="1">
      <c r="A11" s="5" t="inlineStr">
        <is>
          <t>D-009</t>
        </is>
      </c>
      <c r="B11" s="3" t="inlineStr">
        <is>
          <t>ON</t>
        </is>
      </c>
      <c r="C11" s="3" t="inlineStr">
        <is>
          <t>Regulatory — O. Reg. 278/05 Asbestos + O. Reg. 115/26</t>
        </is>
      </c>
      <c r="D11" s="3" t="inlineStr">
        <is>
          <t>Confirm O. Reg. 278/05 status, Type 1/2/3 classification, and any recent amendments.</t>
        </is>
      </c>
      <c r="E11" s="3" t="inlineStr">
        <is>
          <t>P1 — High</t>
        </is>
      </c>
      <c r="F11" s="5" t="inlineStr">
        <is>
          <t>CLOSED</t>
        </is>
      </c>
      <c r="G11" s="3" t="inlineStr">
        <is>
          <t>Phase 1 Research</t>
        </is>
      </c>
      <c r="H11" s="3" t="inlineStr">
        <is>
          <t>CONFIRMED. O. Reg. 278/05 in force (consolidated Apr 20 2026). Last amendment O. Reg. 115/26 (made Apr 16 2026; most provisions in force Jul 1 2026). Amendment adds CSA-approved respirators as alternative to NIOSH for Type 1 and Type 2/3. Type 1/2/3 classification confirmed and documented in Section B. URL: ontario.ca/laws/regulation/050278. [Conf 3]</t>
        </is>
      </c>
      <c r="I11" s="3" t="inlineStr">
        <is>
          <t>3</t>
        </is>
      </c>
    </row>
    <row r="12" ht="55" customHeight="1">
      <c r="A12" s="5" t="inlineStr">
        <is>
          <t>D-010</t>
        </is>
      </c>
      <c r="B12" s="3" t="inlineStr">
        <is>
          <t>ON</t>
        </is>
      </c>
      <c r="C12" s="3" t="inlineStr">
        <is>
          <t>Regulatory — Silica OEL Construction</t>
        </is>
      </c>
      <c r="D12" s="3" t="inlineStr">
        <is>
          <t>Confirm ON silica OEL and whether federal OEL applies to construction.</t>
        </is>
      </c>
      <c r="E12" s="3" t="inlineStr">
        <is>
          <t>P1 — Medium</t>
        </is>
      </c>
      <c r="F12" s="5" t="inlineStr">
        <is>
          <t>CLOSED</t>
        </is>
      </c>
      <c r="G12" s="3" t="inlineStr">
        <is>
          <t>Phase 1 Research</t>
        </is>
      </c>
      <c r="H12" s="3" t="inlineStr">
        <is>
          <t>CONFIRMED. Federal OEL (SOR/86-304) does NOT apply to provincial construction projects. ON: O. Reg. 490/09 OEL formally for non-construction employers but OHSA s.30 (owner duty) and s.25(2)(h) (employer duty of care) apply on construction sites. Quartz 0.10 mg/m³; cristobalite 0.05 mg/m³. No new federal silica-specific construction regulation enacted or proposed as of May 2026. [Conf 3]</t>
        </is>
      </c>
      <c r="I12" s="3" t="inlineStr">
        <is>
          <t>3</t>
        </is>
      </c>
    </row>
    <row r="13" ht="55" customHeight="1">
      <c r="A13" s="5" t="inlineStr">
        <is>
          <t>D-011</t>
        </is>
      </c>
      <c r="B13" s="3" t="inlineStr">
        <is>
          <t>MB</t>
        </is>
      </c>
      <c r="C13" s="3" t="inlineStr">
        <is>
          <t>Regulatory — WSH Reg Dec 2025 + Apr 2027 Amendments</t>
        </is>
      </c>
      <c r="D13" s="3" t="inlineStr">
        <is>
          <t>Confirm Manitoba WSH Regulation recent amendments and hot water at construction sites requirement.</t>
        </is>
      </c>
      <c r="E13" s="3" t="inlineStr">
        <is>
          <t>P1 — Medium</t>
        </is>
      </c>
      <c r="F13" s="5" t="inlineStr">
        <is>
          <t>CLOSED</t>
        </is>
      </c>
      <c r="G13" s="3" t="inlineStr">
        <is>
          <t>Phase 1 Research</t>
        </is>
      </c>
      <c r="H13" s="3" t="inlineStr">
        <is>
          <t>CONFIRMED. Dec 5 2025: WSH Regulation amendments passed (majority in force immediately). Mar 20 2026 amendment: hot water for handwashing at certain construction project sites — coming into force Apr 1 2027. Jun 2025: WSHA amended (psychological safety, single-employer declarations, expedited appeals). Current URL: web2.gov.mb.ca/laws/regs/current/217-2006.php?lang=en. [Conf 3]</t>
        </is>
      </c>
      <c r="I13" s="3" t="inlineStr">
        <is>
          <t>3</t>
        </is>
      </c>
    </row>
    <row r="14" ht="55" customHeight="1">
      <c r="A14" s="5" t="inlineStr">
        <is>
          <t>D-012</t>
        </is>
      </c>
      <c r="B14" s="3" t="inlineStr">
        <is>
          <t>NL</t>
        </is>
      </c>
      <c r="C14" s="3" t="inlineStr">
        <is>
          <t>Regulatory — NLR 5/12 Construction Part</t>
        </is>
      </c>
      <c r="D14" s="3" t="inlineStr">
        <is>
          <t>Confirm Part XVII of NLR 5/12 as primary construction section and NL 2023 OHS Act amendment.</t>
        </is>
      </c>
      <c r="E14" s="3" t="inlineStr">
        <is>
          <t>P1 — Medium</t>
        </is>
      </c>
      <c r="F14" s="5" t="inlineStr">
        <is>
          <t>CLOSED</t>
        </is>
      </c>
      <c r="G14" s="3" t="inlineStr">
        <is>
          <t>Phase 1 Research</t>
        </is>
      </c>
      <c r="H14" s="3" t="inlineStr">
        <is>
          <t>CONFIRMED. NLR 5/12 Part XVII = Construction. OHS Act amended spring 2023 — threshold for OHS programs/committees raised from 10 to 20 workers; in effect Mar 1 2024. URL: assembly.nl.ca/legislation/sr/regulations/rc120005.htm. [Conf 3]</t>
        </is>
      </c>
      <c r="I14" s="3" t="inlineStr">
        <is>
          <t>3</t>
        </is>
      </c>
    </row>
    <row r="15" ht="55" customHeight="1">
      <c r="A15" s="11" t="inlineStr">
        <is>
          <t>D-013</t>
        </is>
      </c>
      <c r="B15" s="3" t="inlineStr">
        <is>
          <t>SK</t>
        </is>
      </c>
      <c r="C15" s="3" t="inlineStr">
        <is>
          <t>Regulatory — Direct URL to OHS Regs 2020 text</t>
        </is>
      </c>
      <c r="D15" s="3" t="inlineStr">
        <is>
          <t>Direct URL to current consolidated text of RRS S-15.1 Reg 10 (OHS Regulations, 2020) not confirmed in Phase 1 research.</t>
        </is>
      </c>
      <c r="E15" s="3" t="inlineStr">
        <is>
          <t>P2 — High</t>
        </is>
      </c>
      <c r="F15" s="11" t="inlineStr">
        <is>
          <t>OPEN</t>
        </is>
      </c>
      <c r="G15" s="3" t="inlineStr">
        <is>
          <t>Unassigned</t>
        </is>
      </c>
      <c r="H15" s="3" t="inlineStr">
        <is>
          <t>Access via Saskatchewan Publications Centre: pubsaskdev.blob.core.windows.net/pubsask-prod/132448/S15-1R10.pdf or Saskatchewan Gazette. Verify current version at Ministry portal. [Conf 2]</t>
        </is>
      </c>
      <c r="I15" s="3" t="inlineStr">
        <is>
          <t>2</t>
        </is>
      </c>
    </row>
    <row r="16" ht="55" customHeight="1">
      <c r="A16" s="11" t="inlineStr">
        <is>
          <t>D-014</t>
        </is>
      </c>
      <c r="B16" s="3" t="inlineStr">
        <is>
          <t>NT/NU</t>
        </is>
      </c>
      <c r="C16" s="3" t="inlineStr">
        <is>
          <t>Regulatory — R-090-2024 Consolidated Text URL</t>
        </is>
      </c>
      <c r="D16" s="3" t="inlineStr">
        <is>
          <t>Direct URL to R-090-2024 consolidated OHS Regulations text for NT not confirmed in Phase 1 research.</t>
        </is>
      </c>
      <c r="E16" s="3" t="inlineStr">
        <is>
          <t>P2 — High</t>
        </is>
      </c>
      <c r="F16" s="11" t="inlineStr">
        <is>
          <t>OPEN</t>
        </is>
      </c>
      <c r="G16" s="3" t="inlineStr">
        <is>
          <t>Unassigned</t>
        </is>
      </c>
      <c r="H16" s="3" t="inlineStr">
        <is>
          <t>Use WSCC legislation page: wscc.nt.ca/about-wscc/policy-and-legislation/legislation for current version. PDF at justice.gov.nt.ca/en/files/legislation/safety/safety.r8.pdf — verify this is R-090-2024 consolidated. [Conf 2]</t>
        </is>
      </c>
      <c r="I16" s="3" t="inlineStr">
        <is>
          <t>2</t>
        </is>
      </c>
    </row>
    <row r="17" ht="55" customHeight="1">
      <c r="A17" s="11" t="inlineStr">
        <is>
          <t>D-015</t>
        </is>
      </c>
      <c r="B17" s="3" t="inlineStr">
        <is>
          <t>NU</t>
        </is>
      </c>
      <c r="C17" s="3" t="inlineStr">
        <is>
          <t>Regulatory — NBC 2020 Adoption Confirmation</t>
        </is>
      </c>
      <c r="D17" s="3" t="inlineStr">
        <is>
          <t>Nunavut NBC 2020 adoption date described as 'to be confirmed' as of Aug 2024. Still on NBC 2015.</t>
        </is>
      </c>
      <c r="E17" s="3" t="inlineStr">
        <is>
          <t>P2 — Medium</t>
        </is>
      </c>
      <c r="F17" s="11" t="inlineStr">
        <is>
          <t>OPEN</t>
        </is>
      </c>
      <c r="G17" s="3" t="inlineStr">
        <is>
          <t>Unassigned</t>
        </is>
      </c>
      <c r="H17" s="3" t="inlineStr">
        <is>
          <t>Verify current NBC edition in force for Nunavut at CBHCC: cbhcc-cchcc.ca/en/provincial-territorial-adoption/ or Nunavut government. [Conf 3 on 2015 being current; TBC on 2020 adoption date]</t>
        </is>
      </c>
      <c r="I17" s="3" t="inlineStr">
        <is>
          <t>1</t>
        </is>
      </c>
    </row>
    <row r="18" ht="55" customHeight="1">
      <c r="A18" s="11" t="inlineStr">
        <is>
          <t>D-016</t>
        </is>
      </c>
      <c r="B18" s="3" t="inlineStr">
        <is>
          <t>PEI</t>
        </is>
      </c>
      <c r="C18" s="3" t="inlineStr">
        <is>
          <t>Regulatory — Post-2024 Amendments</t>
        </is>
      </c>
      <c r="D18" s="3" t="inlineStr">
        <is>
          <t>PEI amendments anticipated in 2025 but specific regulation number and enactment date not confirmed in Phase 1 research.</t>
        </is>
      </c>
      <c r="E18" s="3" t="inlineStr">
        <is>
          <t>P2 — Medium</t>
        </is>
      </c>
      <c r="F18" s="11" t="inlineStr">
        <is>
          <t>OPEN</t>
        </is>
      </c>
      <c r="G18" s="3" t="inlineStr">
        <is>
          <t>Unassigned</t>
        </is>
      </c>
      <c r="H18" s="3" t="inlineStr">
        <is>
          <t>Search PEI legislation portal and WCB PEI website for OHS Act/General Regs amendments post-January 1 2025. [Conf 1]</t>
        </is>
      </c>
      <c r="I18" s="3" t="inlineStr">
        <is>
          <t>1</t>
        </is>
      </c>
    </row>
    <row r="19" ht="55" customHeight="1">
      <c r="A19" s="11" t="inlineStr">
        <is>
          <t>D-017</t>
        </is>
      </c>
      <c r="B19" s="3" t="inlineStr">
        <is>
          <t>MB</t>
        </is>
      </c>
      <c r="C19" s="3" t="inlineStr">
        <is>
          <t>Regulatory — Proposed Asbestos Amendments</t>
        </is>
      </c>
      <c r="D19" s="3" t="inlineStr">
        <is>
          <t>EngageMB consultation proposed mandatory asbestos abatement training certification, public registry, 3-year recertification. Not confirmed enacted as of May 2026.</t>
        </is>
      </c>
      <c r="E19" s="3" t="inlineStr">
        <is>
          <t>P2 — High</t>
        </is>
      </c>
      <c r="F19" s="11" t="inlineStr">
        <is>
          <t>OPEN</t>
        </is>
      </c>
      <c r="G19" s="3" t="inlineStr">
        <is>
          <t>Unassigned</t>
        </is>
      </c>
      <c r="H19" s="3" t="inlineStr">
        <is>
          <t>Verify enactment status at web2.gov.mb.ca/laws/regs/current/217-2006.php and engagemb.ca/workplace-safety-and-health-regulation. Do NOT assume enacted. Flag in Section B as PROPOSED. [Conf 2]</t>
        </is>
      </c>
      <c r="I19" s="3" t="inlineStr">
        <is>
          <t>2</t>
        </is>
      </c>
    </row>
    <row r="20" ht="55" customHeight="1">
      <c r="A20" s="11" t="inlineStr">
        <is>
          <t>D-018</t>
        </is>
      </c>
      <c r="B20" s="3" t="inlineStr">
        <is>
          <t>ALL</t>
        </is>
      </c>
      <c r="C20" s="3" t="inlineStr">
        <is>
          <t>Credential — CORA URLs for NS, NL, YT, NT/NU</t>
        </is>
      </c>
      <c r="D20" s="3" t="inlineStr">
        <is>
          <t>Construction Safety NS, NL Construction Safety Association, Northern Safety Network Yukon, Northern Safety Association (NT/NU) — URLs and program scope not confirmed in Phase 1 research.</t>
        </is>
      </c>
      <c r="E20" s="3" t="inlineStr">
        <is>
          <t>P2 — High</t>
        </is>
      </c>
      <c r="F20" s="11" t="inlineStr">
        <is>
          <t>OPEN</t>
        </is>
      </c>
      <c r="G20" s="3" t="inlineStr">
        <is>
          <t>Unassigned</t>
        </is>
      </c>
      <c r="H20" s="3" t="inlineStr">
        <is>
          <t>Priority Perplexity batch: confirm official URLs and COR program scope for NS, NL, YT, NT/NU CORAs. Confirm whether NT/NU have active COR programs for construction. [Conf 1 for these CORAs]</t>
        </is>
      </c>
      <c r="I20" s="3" t="inlineStr">
        <is>
          <t>1</t>
        </is>
      </c>
    </row>
    <row r="21" ht="55" customHeight="1">
      <c r="A21" s="11" t="inlineStr">
        <is>
          <t>D-019</t>
        </is>
      </c>
      <c r="B21" s="3" t="inlineStr">
        <is>
          <t>ALL</t>
        </is>
      </c>
      <c r="C21" s="3" t="inlineStr">
        <is>
          <t>Credential — Red Seal Compulsory Status Per Province</t>
        </is>
      </c>
      <c r="D21" s="3" t="inlineStr">
        <is>
          <t>Compulsory designated trade status for each construction trade (Carpenter 403A, Plumber 306A, Steamfitter 307A, Ironworker 420A/B, Welder 456A, etc.) not verified per province in Phase 1 research.</t>
        </is>
      </c>
      <c r="E21" s="3" t="inlineStr">
        <is>
          <t>P2 — High</t>
        </is>
      </c>
      <c r="F21" s="11" t="inlineStr">
        <is>
          <t>OPEN</t>
        </is>
      </c>
      <c r="G21" s="3" t="inlineStr">
        <is>
          <t>Unassigned</t>
        </is>
      </c>
      <c r="H21" s="3" t="inlineStr">
        <is>
          <t>Priority Perplexity batches: AB (STAEA compulsory trades as of 2025), BC (ITA compulsory trades 2025), SK (SATCC compulsory trades), MB (Apprenticeship Manitoba compulsory trades), ON (STO compulsory trades), QC (CCQ trade classifications). [Conf 2 for general Red Seal structure; Conf 1 for compulsory status per province]</t>
        </is>
      </c>
      <c r="I21" s="3" t="inlineStr">
        <is>
          <t>1</t>
        </is>
      </c>
    </row>
    <row r="22" ht="55" customHeight="1">
      <c r="A22" s="11" t="inlineStr">
        <is>
          <t>D-020</t>
        </is>
      </c>
      <c r="B22" s="3" t="inlineStr">
        <is>
          <t>ALL</t>
        </is>
      </c>
      <c r="C22" s="3" t="inlineStr">
        <is>
          <t>Credential — Trade Certificate Lookup URLs (all provinces)</t>
        </is>
      </c>
      <c r="D22" s="3" t="inlineStr">
        <is>
          <t>Public registry/lookup URLs for plumber, steamfitter, welder, ironworker, roofer, glazier, lather, millwright not confirmed per province in Phase 1 research.</t>
        </is>
      </c>
      <c r="E22" s="3" t="inlineStr">
        <is>
          <t>P2 — High</t>
        </is>
      </c>
      <c r="F22" s="11" t="inlineStr">
        <is>
          <t>OPEN</t>
        </is>
      </c>
      <c r="G22" s="3" t="inlineStr">
        <is>
          <t>Unassigned</t>
        </is>
      </c>
      <c r="H22" s="3" t="inlineStr">
        <is>
          <t>Compile from apprenticeship boards per province. Known: SK (saskapprenticeship.ca — Apr 5 2026), NL (tradespersonregistry.gov.nl.ca — Jun 5 2025), NB (gnb.ca verify link), NS (MyCreds + phone), MB (email). Confirm AB, BC, ON, QC, PEI, YT, NT, NU. [Conf 2 for known; Conf 1 for unknown]</t>
        </is>
      </c>
      <c r="I22" s="3" t="inlineStr">
        <is>
          <t>1</t>
        </is>
      </c>
    </row>
    <row r="23" ht="55" customHeight="1">
      <c r="A23" s="11" t="inlineStr">
        <is>
          <t>D-021</t>
        </is>
      </c>
      <c r="B23" s="3" t="inlineStr">
        <is>
          <t>ALL</t>
        </is>
      </c>
      <c r="C23" s="3" t="inlineStr">
        <is>
          <t>Credential — NCSO Renewal Requirements Per CORA</t>
        </is>
      </c>
      <c r="D23" s="3" t="inlineStr">
        <is>
          <t>NCSO renewal cycle and recertification requirements vary per issuing CORA. Not confirmed per CORA in Phase 1 research.</t>
        </is>
      </c>
      <c r="E23" s="3" t="inlineStr">
        <is>
          <t>P2 — Medium</t>
        </is>
      </c>
      <c r="F23" s="11" t="inlineStr">
        <is>
          <t>OPEN</t>
        </is>
      </c>
      <c r="G23" s="3" t="inlineStr">
        <is>
          <t>Unassigned</t>
        </is>
      </c>
      <c r="H23" s="3" t="inlineStr">
        <is>
          <t>Check each construction CORA (ACSA, BCCSA, SCSA, CSAM, IHSA, ASP, NBCSA, NS, NL, Northern) for current NCSO renewal requirements. [Conf 2]</t>
        </is>
      </c>
      <c r="I23" s="3" t="inlineStr">
        <is>
          <t>2</t>
        </is>
      </c>
    </row>
    <row r="24" ht="55" customHeight="1">
      <c r="A24" s="11" t="inlineStr">
        <is>
          <t>D-022</t>
        </is>
      </c>
      <c r="B24" s="3" t="inlineStr">
        <is>
          <t>ALL</t>
        </is>
      </c>
      <c r="C24" s="3" t="inlineStr">
        <is>
          <t>Credential — Scaffold Erector National Standard</t>
        </is>
      </c>
      <c r="D24" s="3" t="inlineStr">
        <is>
          <t>No nationally recognized training standard for scaffold erection/inspection confirmed in Phase 1 research.</t>
        </is>
      </c>
      <c r="E24" s="3" t="inlineStr">
        <is>
          <t>P2 — Medium</t>
        </is>
      </c>
      <c r="F24" s="11" t="inlineStr">
        <is>
          <t>OPEN</t>
        </is>
      </c>
      <c r="G24" s="3" t="inlineStr">
        <is>
          <t>Unassigned</t>
        </is>
      </c>
      <c r="H24" s="3" t="inlineStr">
        <is>
          <t>Perplexity: Is there a nationally recognized scaffold erector training standard in Canada? Reference CSA Z797, CICS, or ACSA/IHSA scaffold competency programs. [Conf 2 for competency requirement; Conf 1 for national standard]</t>
        </is>
      </c>
      <c r="I24" s="3" t="inlineStr">
        <is>
          <t>1</t>
        </is>
      </c>
    </row>
    <row r="25" ht="55" customHeight="1">
      <c r="A25" s="11" t="inlineStr">
        <is>
          <t>D-023</t>
        </is>
      </c>
      <c r="B25" s="3" t="inlineStr">
        <is>
          <t>QC</t>
        </is>
      </c>
      <c r="C25" s="3" t="inlineStr">
        <is>
          <t>Credential — CCQ Collective Agreement (Décret) Current Version</t>
        </is>
      </c>
      <c r="D25" s="3" t="inlineStr">
        <is>
          <t>QC CCQ collective agreement (Décret) current version and which trades are covered — not confirmed in Phase 1 research.</t>
        </is>
      </c>
      <c r="E25" s="3" t="inlineStr">
        <is>
          <t>P2 — High</t>
        </is>
      </c>
      <c r="F25" s="11" t="inlineStr">
        <is>
          <t>OPEN</t>
        </is>
      </c>
      <c r="G25" s="3" t="inlineStr">
        <is>
          <t>Unassigned</t>
        </is>
      </c>
      <c r="H25" s="3" t="inlineStr">
        <is>
          <t>Access ccq.org for current Décret version and trade classification schedule. Required for accurate credential mapping in QC. [Conf 2]</t>
        </is>
      </c>
      <c r="I25" s="3" t="inlineStr">
        <is>
          <t>1</t>
        </is>
      </c>
    </row>
    <row r="26" ht="55" customHeight="1">
      <c r="A26" s="7" t="inlineStr">
        <is>
          <t>D-024</t>
        </is>
      </c>
      <c r="B26" s="3" t="inlineStr">
        <is>
          <t>AB/BC/SK</t>
        </is>
      </c>
      <c r="C26" s="3" t="inlineStr">
        <is>
          <t>Credential — Gasfitter Portability Post-CFTA Nov 2025</t>
        </is>
      </c>
      <c r="D26" s="3" t="inlineStr">
        <is>
          <t>Confirm impact of CFTA Reconciliation Agreement Nov 25 2025 on ON-AB gas fitter portability and whether it affects BC.</t>
        </is>
      </c>
      <c r="E26" s="3" t="inlineStr">
        <is>
          <t>P2 — Medium</t>
        </is>
      </c>
      <c r="F26" s="7" t="inlineStr">
        <is>
          <t>PARTIAL</t>
        </is>
      </c>
      <c r="G26" s="3" t="inlineStr">
        <is>
          <t>SKILL.md</t>
        </is>
      </c>
      <c r="H26" s="3" t="inlineStr">
        <is>
          <t>ON G1=AB Gas Fitter A; ON G2=AB Gas Fitter B — apply to AIT; no separate TSSA-ABSA MOU (from SKILL.md verified facts). BC NOT portable to AB without reciprocity — not covered by Nov 2025 agreement (confirmed in SKILL.md). [Conf 3 for ON↔AB; Conf 2 for BC position]</t>
        </is>
      </c>
      <c r="I26" s="3" t="inlineStr">
        <is>
          <t>3</t>
        </is>
      </c>
    </row>
    <row r="27" ht="55" customHeight="1">
      <c r="A27" s="11" t="inlineStr">
        <is>
          <t>D-025</t>
        </is>
      </c>
      <c r="B27" s="3" t="inlineStr">
        <is>
          <t>ON</t>
        </is>
      </c>
      <c r="C27" s="3" t="inlineStr">
        <is>
          <t>Regulatory — O. Reg. 112/26 Type 2 Hard Hat</t>
        </is>
      </c>
      <c r="D27" s="3" t="inlineStr">
        <is>
          <t>New Type 2 hard hat requirement (side-impact protection) in O. Reg. 112/26 — effective Jul 1 2027. Confirm details.</t>
        </is>
      </c>
      <c r="E27" s="3" t="inlineStr">
        <is>
          <t>P2 — Low (future date)</t>
        </is>
      </c>
      <c r="F27" s="11" t="inlineStr">
        <is>
          <t>OPEN</t>
        </is>
      </c>
      <c r="G27" s="3" t="inlineStr">
        <is>
          <t>Unassigned</t>
        </is>
      </c>
      <c r="H27" s="3" t="inlineStr">
        <is>
          <t>O. Reg. 112/26 confirmed in Phase 1 research (from O. Reg. 213/91 amendment table). In force Jul 1 2027. Monitor for compliance preparation guidance from MLITSD/IHSA. [Conf 3 — existence confirmed; content details VERIFY_REQUIRED]</t>
        </is>
      </c>
      <c r="I27" s="3" t="inlineStr">
        <is>
          <t>2</t>
        </is>
      </c>
    </row>
    <row r="29" ht="22" customHeight="1">
      <c r="A29" s="4" t="inlineStr">
        <is>
          <t>TRACKER SUMMARY</t>
        </is>
      </c>
    </row>
    <row r="30" ht="20" customHeight="1">
      <c r="A30" s="18" t="inlineStr">
        <is>
          <t>CLOSED</t>
        </is>
      </c>
      <c r="B30" s="18">
        <f>COUNTIF(F3:F27,"CLOSED")</f>
        <v/>
      </c>
    </row>
    <row r="31" ht="20" customHeight="1">
      <c r="A31" s="18" t="inlineStr">
        <is>
          <t>CORRECTION APPLIED</t>
        </is>
      </c>
      <c r="B31" s="18">
        <f>COUNTIF(F3:F27,"CORRECTION APPLIED")</f>
        <v/>
      </c>
    </row>
    <row r="32" ht="20" customHeight="1">
      <c r="A32" s="21" t="inlineStr">
        <is>
          <t>OPEN</t>
        </is>
      </c>
      <c r="B32" s="21">
        <f>COUNTIF(F3:F27,"OPEN")</f>
        <v/>
      </c>
    </row>
    <row r="33" ht="20" customHeight="1">
      <c r="A33" s="19" t="inlineStr">
        <is>
          <t>PARTIAL</t>
        </is>
      </c>
      <c r="B33" s="19">
        <f>COUNTIF(F3:F27,"PARTIAL")</f>
        <v/>
      </c>
    </row>
  </sheetData>
  <mergeCells count="2">
    <mergeCell ref="A1:I1"/>
    <mergeCell ref="A29:C2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4"/>
  <sheetViews>
    <sheetView showGridLines="0" workbookViewId="0">
      <pane ySplit="2" topLeftCell="A3" activePane="bottomLeft" state="frozen"/>
      <selection pane="bottomLeft" activeCell="A1" sqref="A1"/>
    </sheetView>
  </sheetViews>
  <sheetFormatPr baseColWidth="8" defaultRowHeight="15"/>
  <cols>
    <col width="6" customWidth="1" min="1" max="1"/>
    <col width="10" customWidth="1" min="2" max="2"/>
    <col width="35" customWidth="1" min="3" max="3"/>
    <col width="35" customWidth="1" min="4" max="4"/>
    <col width="25" customWidth="1" min="5" max="5"/>
    <col width="12" customWidth="1" min="6" max="6"/>
    <col width="30" customWidth="1" min="7" max="7"/>
    <col width="12" customWidth="1" min="8" max="8"/>
  </cols>
  <sheetData>
    <row r="1" ht="30" customHeight="1">
      <c r="A1" s="17" t="inlineStr">
        <is>
          <t>SHEET E — CORA NATIONAL REGISTRY | Construction Industry | ⚠ CORRECTION: Use Construction CORAs — NOT Oil &amp; Gas CORAs (ESC)</t>
        </is>
      </c>
    </row>
    <row r="2" ht="22" customHeight="1">
      <c r="A2" s="4" t="inlineStr">
        <is>
          <t>Conf</t>
        </is>
      </c>
      <c r="B2" s="4" t="inlineStr">
        <is>
          <t>Province</t>
        </is>
      </c>
      <c r="C2" s="4" t="inlineStr">
        <is>
          <t>CORA Full Name</t>
        </is>
      </c>
      <c r="D2" s="4" t="inlineStr">
        <is>
          <t>Acronym / Short Name</t>
        </is>
      </c>
      <c r="E2" s="4" t="inlineStr">
        <is>
          <t>Sector (Construction)</t>
        </is>
      </c>
      <c r="F2" s="4" t="inlineStr">
        <is>
          <t>COR Active?</t>
        </is>
      </c>
      <c r="G2" s="4" t="inlineStr">
        <is>
          <t>Official URL</t>
        </is>
      </c>
      <c r="H2" s="4" t="inlineStr">
        <is>
          <t>Notes</t>
        </is>
      </c>
    </row>
    <row r="3" ht="35" customHeight="1">
      <c r="A3" s="5" t="inlineStr">
        <is>
          <t>3</t>
        </is>
      </c>
      <c r="B3" s="3" t="inlineStr">
        <is>
          <t>AB</t>
        </is>
      </c>
      <c r="C3" s="3" t="inlineStr">
        <is>
          <t>Alberta Construction Safety Association</t>
        </is>
      </c>
      <c r="D3" s="3" t="inlineStr">
        <is>
          <t>ACSA</t>
        </is>
      </c>
      <c r="E3" s="3" t="inlineStr">
        <is>
          <t>General Construction, Industrial Construction</t>
        </is>
      </c>
      <c r="F3" s="3" t="inlineStr">
        <is>
          <t>Yes</t>
        </is>
      </c>
      <c r="G3" s="3" t="inlineStr">
        <is>
          <t>acsa-safety.org</t>
        </is>
      </c>
      <c r="H3" s="3" t="inlineStr">
        <is>
          <t>⚠ Do NOT confuse with Energy Safety Canada (ESC) — ESC is Oil &amp; Gas CORA only. ACSA = Construction.</t>
        </is>
      </c>
    </row>
    <row r="4" ht="35" customHeight="1">
      <c r="A4" s="5" t="inlineStr">
        <is>
          <t>3</t>
        </is>
      </c>
      <c r="B4" s="3" t="inlineStr">
        <is>
          <t>BC</t>
        </is>
      </c>
      <c r="C4" s="3" t="inlineStr">
        <is>
          <t>BC Construction Safety Alliance</t>
        </is>
      </c>
      <c r="D4" s="3" t="inlineStr">
        <is>
          <t>BCCSA</t>
        </is>
      </c>
      <c r="E4" s="3" t="inlineStr">
        <is>
          <t>General Construction, Industrial Construction</t>
        </is>
      </c>
      <c r="F4" s="3" t="inlineStr">
        <is>
          <t>Yes</t>
        </is>
      </c>
      <c r="G4" s="3" t="inlineStr">
        <is>
          <t>bccsa.ca</t>
        </is>
      </c>
      <c r="H4" s="3" t="inlineStr">
        <is>
          <t>Construction CORA for BC. Distinct from Energy Safety Canada.</t>
        </is>
      </c>
    </row>
    <row r="5" ht="35" customHeight="1">
      <c r="A5" s="5" t="inlineStr">
        <is>
          <t>3</t>
        </is>
      </c>
      <c r="B5" s="3" t="inlineStr">
        <is>
          <t>SK</t>
        </is>
      </c>
      <c r="C5" s="3" t="inlineStr">
        <is>
          <t>Saskatchewan Construction Safety Association</t>
        </is>
      </c>
      <c r="D5" s="3" t="inlineStr">
        <is>
          <t>SCSA</t>
        </is>
      </c>
      <c r="E5" s="3" t="inlineStr">
        <is>
          <t>General Construction, Industrial Construction</t>
        </is>
      </c>
      <c r="F5" s="3" t="inlineStr">
        <is>
          <t>Yes</t>
        </is>
      </c>
      <c r="G5" s="3" t="inlineStr">
        <is>
          <t>scsaonline.ca</t>
        </is>
      </c>
      <c r="H5" s="3" t="inlineStr">
        <is>
          <t>Construction CORA for SK.</t>
        </is>
      </c>
    </row>
    <row r="6" ht="35" customHeight="1">
      <c r="A6" s="5" t="inlineStr">
        <is>
          <t>3</t>
        </is>
      </c>
      <c r="B6" s="3" t="inlineStr">
        <is>
          <t>MB</t>
        </is>
      </c>
      <c r="C6" s="3" t="inlineStr">
        <is>
          <t>Construction Safety Association of Manitoba</t>
        </is>
      </c>
      <c r="D6" s="3" t="inlineStr">
        <is>
          <t>CSAM</t>
        </is>
      </c>
      <c r="E6" s="3" t="inlineStr">
        <is>
          <t>General Construction, Industrial Construction</t>
        </is>
      </c>
      <c r="F6" s="3" t="inlineStr">
        <is>
          <t>Yes</t>
        </is>
      </c>
      <c r="G6" s="3" t="inlineStr">
        <is>
          <t>constructionsafety.ca</t>
        </is>
      </c>
      <c r="H6" s="3" t="inlineStr">
        <is>
          <t>Construction CORA for MB. Note: WorkSafely MB is separate CORA.</t>
        </is>
      </c>
    </row>
    <row r="7" ht="35" customHeight="1">
      <c r="A7" s="5" t="inlineStr">
        <is>
          <t>3</t>
        </is>
      </c>
      <c r="B7" s="3" t="inlineStr">
        <is>
          <t>ON</t>
        </is>
      </c>
      <c r="C7" s="3" t="inlineStr">
        <is>
          <t>Infrastructure Health &amp; Safety Association</t>
        </is>
      </c>
      <c r="D7" s="3" t="inlineStr">
        <is>
          <t>IHSA</t>
        </is>
      </c>
      <c r="E7" s="3" t="inlineStr">
        <is>
          <t>Construction (and transportation/utilities)</t>
        </is>
      </c>
      <c r="F7" s="3" t="inlineStr">
        <is>
          <t>Yes</t>
        </is>
      </c>
      <c r="G7" s="3" t="inlineStr">
        <is>
          <t>ihsa.ca</t>
        </is>
      </c>
      <c r="H7" s="3" t="inlineStr">
        <is>
          <t>Primary construction CORA for ON.</t>
        </is>
      </c>
    </row>
    <row r="8" ht="35" customHeight="1">
      <c r="A8" s="5" t="inlineStr">
        <is>
          <t>3</t>
        </is>
      </c>
      <c r="B8" s="3" t="inlineStr">
        <is>
          <t>QC</t>
        </is>
      </c>
      <c r="C8" s="3" t="inlineStr">
        <is>
          <t>ASP Construction</t>
        </is>
      </c>
      <c r="D8" s="3" t="inlineStr">
        <is>
          <t>ASP Construction (Association sectorielle paritaire de la construction)</t>
        </is>
      </c>
      <c r="E8" s="3" t="inlineStr">
        <is>
          <t>Construction</t>
        </is>
      </c>
      <c r="F8" s="3" t="inlineStr">
        <is>
          <t>Yes</t>
        </is>
      </c>
      <c r="G8" s="3" t="inlineStr">
        <is>
          <t>aspconst.com</t>
        </is>
      </c>
      <c r="H8" s="3" t="inlineStr">
        <is>
          <t>QC construction safety association under LSST. Note CCQ is separate (labour relations).</t>
        </is>
      </c>
    </row>
    <row r="9" ht="35" customHeight="1">
      <c r="A9" s="5" t="inlineStr">
        <is>
          <t>3</t>
        </is>
      </c>
      <c r="B9" s="3" t="inlineStr">
        <is>
          <t>NB</t>
        </is>
      </c>
      <c r="C9" s="3" t="inlineStr">
        <is>
          <t>New Brunswick Construction Safety Association</t>
        </is>
      </c>
      <c r="D9" s="3" t="inlineStr">
        <is>
          <t>NBCSA</t>
        </is>
      </c>
      <c r="E9" s="3" t="inlineStr">
        <is>
          <t>General Construction</t>
        </is>
      </c>
      <c r="F9" s="3" t="inlineStr">
        <is>
          <t>Yes</t>
        </is>
      </c>
      <c r="G9" s="3" t="inlineStr">
        <is>
          <t>nbcsa.ca</t>
        </is>
      </c>
      <c r="H9" s="3" t="inlineStr">
        <is>
          <t>Construction CORA for NB.</t>
        </is>
      </c>
    </row>
    <row r="10" ht="35" customHeight="1">
      <c r="A10" s="7" t="inlineStr">
        <is>
          <t>2</t>
        </is>
      </c>
      <c r="B10" s="3" t="inlineStr">
        <is>
          <t>NS</t>
        </is>
      </c>
      <c r="C10" s="3" t="inlineStr">
        <is>
          <t>Construction Safety Nova Scotia</t>
        </is>
      </c>
      <c r="D10" s="3" t="inlineStr">
        <is>
          <t>[VERIFY_REQUIRED — acronym]</t>
        </is>
      </c>
      <c r="E10" s="3" t="inlineStr">
        <is>
          <t>General Construction</t>
        </is>
      </c>
      <c r="F10" s="3" t="inlineStr">
        <is>
          <t>[VERIFY_REQUIRED]</t>
        </is>
      </c>
      <c r="G10" s="12" t="inlineStr">
        <is>
          <t>[VERIFY_REQUIRED — confirm official URL]</t>
        </is>
      </c>
      <c r="H10" s="3" t="inlineStr">
        <is>
          <t>D-018 OPEN: URL and program scope to be confirmed in Perplexity pass 2.</t>
        </is>
      </c>
    </row>
    <row r="11" ht="35" customHeight="1">
      <c r="A11" s="7" t="inlineStr">
        <is>
          <t>2</t>
        </is>
      </c>
      <c r="B11" s="3" t="inlineStr">
        <is>
          <t>NL</t>
        </is>
      </c>
      <c r="C11" s="3" t="inlineStr">
        <is>
          <t>NL Construction Safety Association</t>
        </is>
      </c>
      <c r="D11" s="3" t="inlineStr">
        <is>
          <t>[VERIFY_REQUIRED — acronym]</t>
        </is>
      </c>
      <c r="E11" s="3" t="inlineStr">
        <is>
          <t>General Construction</t>
        </is>
      </c>
      <c r="F11" s="3" t="inlineStr">
        <is>
          <t>[VERIFY_REQUIRED]</t>
        </is>
      </c>
      <c r="G11" s="12" t="inlineStr">
        <is>
          <t>[VERIFY_REQUIRED — confirm official URL]</t>
        </is>
      </c>
      <c r="H11" s="3" t="inlineStr">
        <is>
          <t>D-018 OPEN: URL and program scope to be confirmed in Perplexity pass 2.</t>
        </is>
      </c>
    </row>
    <row r="12" ht="35" customHeight="1">
      <c r="A12" s="9" t="inlineStr">
        <is>
          <t>1</t>
        </is>
      </c>
      <c r="B12" s="3" t="inlineStr">
        <is>
          <t>YT</t>
        </is>
      </c>
      <c r="C12" s="3" t="inlineStr">
        <is>
          <t>Northern Safety Network Yukon</t>
        </is>
      </c>
      <c r="D12" s="3" t="inlineStr">
        <is>
          <t>NSNY</t>
        </is>
      </c>
      <c r="E12" s="3" t="inlineStr">
        <is>
          <t>General Construction</t>
        </is>
      </c>
      <c r="F12" s="3" t="inlineStr">
        <is>
          <t>[VERIFY_REQUIRED]</t>
        </is>
      </c>
      <c r="G12" s="12" t="inlineStr">
        <is>
          <t>[VERIFY_REQUIRED — confirm official URL]</t>
        </is>
      </c>
      <c r="H12" s="3" t="inlineStr">
        <is>
          <t>D-018 OPEN: Scope and COR program status to be confirmed.</t>
        </is>
      </c>
    </row>
    <row r="13" ht="35" customHeight="1">
      <c r="A13" s="9" t="inlineStr">
        <is>
          <t>1</t>
        </is>
      </c>
      <c r="B13" s="3" t="inlineStr">
        <is>
          <t>NT/NU</t>
        </is>
      </c>
      <c r="C13" s="3" t="inlineStr">
        <is>
          <t>Northern Safety Association</t>
        </is>
      </c>
      <c r="D13" s="3" t="inlineStr">
        <is>
          <t>[VERIFY_REQUIRED]</t>
        </is>
      </c>
      <c r="E13" s="3" t="inlineStr">
        <is>
          <t>[VERIFY_REQUIRED — scope for construction]</t>
        </is>
      </c>
      <c r="F13" s="3" t="inlineStr">
        <is>
          <t>[VERIFY_REQUIRED]</t>
        </is>
      </c>
      <c r="G13" s="12" t="inlineStr">
        <is>
          <t>[VERIFY_REQUIRED — confirm official URL and NT/NU construction COR program scope]</t>
        </is>
      </c>
      <c r="H13" s="3" t="inlineStr">
        <is>
          <t>D-018 OPEN: Whether NT/NU have active construction COR programs to be confirmed.</t>
        </is>
      </c>
    </row>
    <row r="14" ht="35" customHeight="1">
      <c r="A14" s="5" t="inlineStr">
        <is>
          <t>3</t>
        </is>
      </c>
      <c r="B14" s="3" t="inlineStr">
        <is>
          <t>PEI</t>
        </is>
      </c>
      <c r="C14" s="3" t="inlineStr">
        <is>
          <t>No COR Program</t>
        </is>
      </c>
      <c r="D14" s="3" t="inlineStr">
        <is>
          <t>N/A</t>
        </is>
      </c>
      <c r="E14" s="3" t="inlineStr">
        <is>
          <t>No COR program in PEI</t>
        </is>
      </c>
      <c r="F14" s="3" t="inlineStr">
        <is>
          <t>No</t>
        </is>
      </c>
      <c r="G14" s="3" t="inlineStr">
        <is>
          <t>N/A</t>
        </is>
      </c>
      <c r="H14" s="3" t="inlineStr">
        <is>
          <t>PEI does not have a COR certification authority or program as of research date.</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2026-05-25T13:46:04Z</dcterms:created>
  <dcterms:modified xmlns:dcterms="http://purl.org/dc/terms/" xmlns:xsi="http://www.w3.org/2001/XMLSchema-instance" xsi:type="dcterms:W3CDTF">2026-05-25T13:46:04Z</dcterms:modified>
</cp:coreProperties>
</file>